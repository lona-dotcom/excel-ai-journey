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excel-ai-journey\phase-1-excel-avance\exercices\"/>
    </mc:Choice>
  </mc:AlternateContent>
  <xr:revisionPtr revIDLastSave="0" documentId="13_ncr:1_{0F1A28C4-B8F1-4F1A-8966-248CA470FF5C}" xr6:coauthVersionLast="47" xr6:coauthVersionMax="47" xr10:uidLastSave="{00000000-0000-0000-0000-000000000000}"/>
  <bookViews>
    <workbookView xWindow="-108" yWindow="-108" windowWidth="23256" windowHeight="12456" activeTab="1" xr2:uid="{F1A20F38-2A4F-451B-B6F6-D18EC979FF5A}"/>
  </bookViews>
  <sheets>
    <sheet name="PRODUITS" sheetId="1" r:id="rId1"/>
    <sheet name="COMMANDES" sheetId="2" r:id="rId2"/>
    <sheet name="PROJETS" sheetId="3" r:id="rId3"/>
    <sheet name="FACTURES" sheetId="4" r:id="rId4"/>
    <sheet name="Analyse Market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</calcChain>
</file>

<file path=xl/sharedStrings.xml><?xml version="1.0" encoding="utf-8"?>
<sst xmlns="http://schemas.openxmlformats.org/spreadsheetml/2006/main" count="68" uniqueCount="53">
  <si>
    <t>Code</t>
  </si>
  <si>
    <t>Désignation</t>
  </si>
  <si>
    <t>Catégorie</t>
  </si>
  <si>
    <t>Prix_Unité</t>
  </si>
  <si>
    <t>Stock</t>
  </si>
  <si>
    <t>P01</t>
  </si>
  <si>
    <t>Clavier USB</t>
  </si>
  <si>
    <t>Périphérique</t>
  </si>
  <si>
    <t>P02</t>
  </si>
  <si>
    <t>Souris sans fil</t>
  </si>
  <si>
    <t>P03</t>
  </si>
  <si>
    <t>Écran 24"</t>
  </si>
  <si>
    <t>Écran</t>
  </si>
  <si>
    <t>P04</t>
  </si>
  <si>
    <t>Câble HDMI</t>
  </si>
  <si>
    <t>Accessoire</t>
  </si>
  <si>
    <t>P05</t>
  </si>
  <si>
    <t>Webcam HD</t>
  </si>
  <si>
    <t>N° Cde</t>
  </si>
  <si>
    <t>Code_Article</t>
  </si>
  <si>
    <t>Quantité</t>
  </si>
  <si>
    <t>C001</t>
  </si>
  <si>
    <t>C002</t>
  </si>
  <si>
    <t>C003</t>
  </si>
  <si>
    <t>C004</t>
  </si>
  <si>
    <t>P99</t>
  </si>
  <si>
    <t>C005</t>
  </si>
  <si>
    <t>ID_Projet</t>
  </si>
  <si>
    <t>Client</t>
  </si>
  <si>
    <t>Type</t>
  </si>
  <si>
    <t>Budget_HT</t>
  </si>
  <si>
    <t>Statut</t>
  </si>
  <si>
    <t>PRJ-101</t>
  </si>
  <si>
    <t>Alpha</t>
  </si>
  <si>
    <t>Web</t>
  </si>
  <si>
    <t>Terminé</t>
  </si>
  <si>
    <t>PRJ-102</t>
  </si>
  <si>
    <t>Beta</t>
  </si>
  <si>
    <t>SEO</t>
  </si>
  <si>
    <t>En cours</t>
  </si>
  <si>
    <t>PRJ-103</t>
  </si>
  <si>
    <t>Gamma</t>
  </si>
  <si>
    <t>Annulé</t>
  </si>
  <si>
    <t>...</t>
  </si>
  <si>
    <t>N° Facture</t>
  </si>
  <si>
    <t>Date</t>
  </si>
  <si>
    <t>Montant_HT</t>
  </si>
  <si>
    <t>F001</t>
  </si>
  <si>
    <t>F002</t>
  </si>
  <si>
    <t>F003</t>
  </si>
  <si>
    <t>PRJ-104</t>
  </si>
  <si>
    <r>
      <t>Feuille "UTILISATEURS"</t>
    </r>
    <r>
      <rPr>
        <sz val="10"/>
        <color rgb="FF0F1115"/>
        <rFont val="Segoe UI"/>
        <family val="2"/>
      </rPr>
      <t> : UserID, Email, Date_Inscription, Pays, Abonnement (Gratuit/Premium)</t>
    </r>
  </si>
  <si>
    <r>
      <t>Feuille "EVENEMENTS"</t>
    </r>
    <r>
      <rPr>
        <sz val="10"/>
        <color rgb="FF0F1115"/>
        <rFont val="Segoe UI"/>
        <family val="2"/>
      </rPr>
      <t> : UserID, Date_Action, Type_Action (clic, achat, visionnage), Valeur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</si>
</sst>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  <xf numFmtId="0" fontId="3" fillId="0" borderId="0" xfId="0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DE2C6-7AF7-4BAF-82D7-5D20E6BE793E}" name="Tableau1" displayName="Tableau1" ref="A1:E6" totalsRowShown="0" headerRowDxfId="19" dataDxfId="18">
  <autoFilter ref="A1:E6" xr:uid="{90EDE2C6-7AF7-4BAF-82D7-5D20E6BE793E}"/>
  <tableColumns count="5">
    <tableColumn id="1" xr3:uid="{D229C281-9921-44DA-8ADF-2BBF174D448C}" name="Code" dataDxfId="17"/>
    <tableColumn id="2" xr3:uid="{329C4A42-FDFB-426D-A39F-6BF25703E85C}" name="Désignation" dataDxfId="16"/>
    <tableColumn id="3" xr3:uid="{EC89EC55-A0B2-47BC-ADFE-6BF88C9FCA42}" name="Catégorie" dataDxfId="15"/>
    <tableColumn id="4" xr3:uid="{56ADE8FF-2F4A-407C-949A-434522EFC0DF}" name="Prix_Unité" dataDxfId="14"/>
    <tableColumn id="5" xr3:uid="{90E1DEAE-B2F5-4396-A877-17964625C319}" name="Stock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BCDC36-CC41-4316-8477-40C0AF984E3C}" name="Tableau2" displayName="Tableau2" ref="A1:D6" totalsRowShown="0" headerRowDxfId="12" dataDxfId="11">
  <autoFilter ref="A1:D6" xr:uid="{77BCDC36-CC41-4316-8477-40C0AF984E3C}"/>
  <tableColumns count="4">
    <tableColumn id="1" xr3:uid="{742C9074-A44B-4564-9109-4D96F296B411}" name="N° Cde" dataDxfId="10"/>
    <tableColumn id="2" xr3:uid="{A2E4C4D0-A8C1-4188-B1EA-885E977D2AD2}" name="Code_Article" dataDxfId="9"/>
    <tableColumn id="3" xr3:uid="{BBCFCE8B-0E9C-411D-966A-4B9BE6944EC4}" name="Quantité" dataDxfId="8"/>
    <tableColumn id="4" xr3:uid="{8DA8A676-86A2-4CA1-BE0E-24702F6148B1}" name="Désignation" dataDxfId="0">
      <calculatedColumnFormula>_xlfn.XLOOKUP(B2,PRODUITS!A:A,PRODUITS!B:B,"Inconnu")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1EBF1E-6DCA-4D04-AC75-D39959706213}" name="Tableau3" displayName="Tableau3" ref="A1:E5" totalsRowShown="0" headerRowDxfId="7" dataDxfId="6">
  <autoFilter ref="A1:E5" xr:uid="{4E1EBF1E-6DCA-4D04-AC75-D39959706213}"/>
  <tableColumns count="5">
    <tableColumn id="1" xr3:uid="{B5568E22-E874-4844-A90D-4D19748F2760}" name="ID_Projet" dataDxfId="5"/>
    <tableColumn id="2" xr3:uid="{AB036400-2BCD-492D-8CF4-8FC7A0BCBEA4}" name="Client" dataDxfId="4"/>
    <tableColumn id="3" xr3:uid="{F0CC70DE-97A6-42FB-B377-AC5570A96FFE}" name="Type" dataDxfId="3"/>
    <tableColumn id="4" xr3:uid="{50E2533C-4F1E-4CED-A492-F9A6A554481B}" name="Budget_HT" dataDxfId="2"/>
    <tableColumn id="5" xr3:uid="{9AFB5181-2E05-4F02-A38E-BD00E0BA70C7}" name="Statu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D19B-3663-41DC-A45D-28DE43A423B2}">
  <dimension ref="A1:E6"/>
  <sheetViews>
    <sheetView workbookViewId="0">
      <selection activeCell="E18" sqref="E18"/>
    </sheetView>
  </sheetViews>
  <sheetFormatPr baseColWidth="10" defaultRowHeight="14.4" x14ac:dyDescent="0.3"/>
  <cols>
    <col min="2" max="2" width="12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25</v>
      </c>
      <c r="E2" s="2">
        <v>12</v>
      </c>
    </row>
    <row r="3" spans="1:5" ht="16.8" customHeight="1" x14ac:dyDescent="0.3">
      <c r="A3" s="2" t="s">
        <v>8</v>
      </c>
      <c r="B3" s="2" t="s">
        <v>9</v>
      </c>
      <c r="C3" s="2" t="s">
        <v>7</v>
      </c>
      <c r="D3" s="2">
        <v>18.5</v>
      </c>
      <c r="E3" s="2">
        <v>8</v>
      </c>
    </row>
    <row r="4" spans="1:5" x14ac:dyDescent="0.3">
      <c r="A4" s="2" t="s">
        <v>10</v>
      </c>
      <c r="B4" s="2" t="s">
        <v>11</v>
      </c>
      <c r="C4" s="2" t="s">
        <v>12</v>
      </c>
      <c r="D4" s="2">
        <v>149.9</v>
      </c>
      <c r="E4" s="2">
        <v>5</v>
      </c>
    </row>
    <row r="5" spans="1:5" x14ac:dyDescent="0.3">
      <c r="A5" s="2" t="s">
        <v>13</v>
      </c>
      <c r="B5" s="2" t="s">
        <v>14</v>
      </c>
      <c r="C5" s="2" t="s">
        <v>15</v>
      </c>
      <c r="D5" s="2">
        <v>9.9</v>
      </c>
      <c r="E5" s="2">
        <v>30</v>
      </c>
    </row>
    <row r="6" spans="1:5" x14ac:dyDescent="0.3">
      <c r="A6" s="2" t="s">
        <v>16</v>
      </c>
      <c r="B6" s="2" t="s">
        <v>17</v>
      </c>
      <c r="C6" s="2" t="s">
        <v>7</v>
      </c>
      <c r="D6" s="2">
        <v>45</v>
      </c>
      <c r="E6" s="2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0865-93E0-48F6-9C7E-BD34DA8EACC7}">
  <dimension ref="A1:D6"/>
  <sheetViews>
    <sheetView tabSelected="1" workbookViewId="0">
      <selection activeCell="D3" sqref="D3"/>
    </sheetView>
  </sheetViews>
  <sheetFormatPr baseColWidth="10" defaultRowHeight="14.4" x14ac:dyDescent="0.3"/>
  <cols>
    <col min="2" max="2" width="13.21875" customWidth="1"/>
  </cols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1</v>
      </c>
    </row>
    <row r="2" spans="1:4" x14ac:dyDescent="0.3">
      <c r="A2" s="2" t="s">
        <v>21</v>
      </c>
      <c r="B2" s="2" t="s">
        <v>10</v>
      </c>
      <c r="C2" s="2">
        <v>2</v>
      </c>
      <c r="D2" s="1" t="str">
        <f>_xlfn.XLOOKUP(B2,PRODUITS!A:A,PRODUITS!B:B,"Inconnu")</f>
        <v>Écran 24"</v>
      </c>
    </row>
    <row r="3" spans="1:4" x14ac:dyDescent="0.3">
      <c r="A3" s="2" t="s">
        <v>22</v>
      </c>
      <c r="B3" s="2" t="s">
        <v>5</v>
      </c>
      <c r="C3" s="2">
        <v>1</v>
      </c>
      <c r="D3" s="1" t="str">
        <f>_xlfn.XLOOKUP(B3,PRODUITS!A:A,PRODUITS!B:B,"Inconnu")</f>
        <v>Clavier USB</v>
      </c>
    </row>
    <row r="4" spans="1:4" x14ac:dyDescent="0.3">
      <c r="A4" s="2" t="s">
        <v>23</v>
      </c>
      <c r="B4" s="2" t="s">
        <v>16</v>
      </c>
      <c r="C4" s="2">
        <v>3</v>
      </c>
      <c r="D4" s="1" t="str">
        <f>_xlfn.XLOOKUP(B4,PRODUITS!A:A,PRODUITS!B:B,"Inconnu")</f>
        <v>Webcam HD</v>
      </c>
    </row>
    <row r="5" spans="1:4" x14ac:dyDescent="0.3">
      <c r="A5" s="2" t="s">
        <v>24</v>
      </c>
      <c r="B5" s="2" t="s">
        <v>25</v>
      </c>
      <c r="C5" s="2">
        <v>1</v>
      </c>
      <c r="D5" s="1" t="str">
        <f>_xlfn.XLOOKUP(B5,PRODUITS!A:A,PRODUITS!B:B,"Inconnu")</f>
        <v>Inconnu</v>
      </c>
    </row>
    <row r="6" spans="1:4" x14ac:dyDescent="0.3">
      <c r="A6" s="2" t="s">
        <v>26</v>
      </c>
      <c r="B6" s="2" t="s">
        <v>8</v>
      </c>
      <c r="C6" s="2">
        <v>4</v>
      </c>
      <c r="D6" s="1" t="str">
        <f>_xlfn.XLOOKUP(B6,PRODUITS!A:A,PRODUITS!B:B,"Inconnu")</f>
        <v>Souris sans fil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C5DA-584C-4BF8-B9E3-8CB4111A5556}">
  <dimension ref="A1:E5"/>
  <sheetViews>
    <sheetView workbookViewId="0">
      <selection sqref="A1:E5"/>
    </sheetView>
  </sheetViews>
  <sheetFormatPr baseColWidth="10" defaultRowHeight="14.4" x14ac:dyDescent="0.3"/>
  <cols>
    <col min="4" max="4" width="12" customWidth="1"/>
  </cols>
  <sheetData>
    <row r="1" spans="1:5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 s="2" t="s">
        <v>32</v>
      </c>
      <c r="B2" s="2" t="s">
        <v>33</v>
      </c>
      <c r="C2" s="2" t="s">
        <v>34</v>
      </c>
      <c r="D2" s="2">
        <v>4500</v>
      </c>
      <c r="E2" s="2" t="s">
        <v>35</v>
      </c>
    </row>
    <row r="3" spans="1:5" x14ac:dyDescent="0.3">
      <c r="A3" s="2" t="s">
        <v>36</v>
      </c>
      <c r="B3" s="2" t="s">
        <v>37</v>
      </c>
      <c r="C3" s="2" t="s">
        <v>38</v>
      </c>
      <c r="D3" s="2">
        <v>3200</v>
      </c>
      <c r="E3" s="2" t="s">
        <v>39</v>
      </c>
    </row>
    <row r="4" spans="1:5" x14ac:dyDescent="0.3">
      <c r="A4" s="2" t="s">
        <v>40</v>
      </c>
      <c r="B4" s="2" t="s">
        <v>41</v>
      </c>
      <c r="C4" s="2" t="s">
        <v>34</v>
      </c>
      <c r="D4" s="2">
        <v>7800</v>
      </c>
      <c r="E4" s="2" t="s">
        <v>42</v>
      </c>
    </row>
    <row r="5" spans="1:5" x14ac:dyDescent="0.3">
      <c r="A5" s="2" t="s">
        <v>43</v>
      </c>
      <c r="B5" s="2" t="s">
        <v>43</v>
      </c>
      <c r="C5" s="2" t="s">
        <v>43</v>
      </c>
      <c r="D5" s="2" t="s">
        <v>43</v>
      </c>
      <c r="E5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00F1-9571-4454-A036-942B9395AA83}">
  <dimension ref="A1:D4"/>
  <sheetViews>
    <sheetView workbookViewId="0">
      <selection sqref="A1:D4"/>
    </sheetView>
  </sheetViews>
  <sheetFormatPr baseColWidth="10" defaultRowHeight="14.4" x14ac:dyDescent="0.3"/>
  <sheetData>
    <row r="1" spans="1:4" x14ac:dyDescent="0.3">
      <c r="A1" s="1" t="s">
        <v>44</v>
      </c>
      <c r="B1" s="1" t="s">
        <v>27</v>
      </c>
      <c r="C1" s="1" t="s">
        <v>45</v>
      </c>
      <c r="D1" s="1" t="s">
        <v>46</v>
      </c>
    </row>
    <row r="2" spans="1:4" x14ac:dyDescent="0.3">
      <c r="A2" s="2" t="s">
        <v>47</v>
      </c>
      <c r="B2" s="2" t="s">
        <v>32</v>
      </c>
      <c r="C2" s="3">
        <v>46174</v>
      </c>
      <c r="D2" s="2">
        <v>4500</v>
      </c>
    </row>
    <row r="3" spans="1:4" x14ac:dyDescent="0.3">
      <c r="A3" s="2" t="s">
        <v>48</v>
      </c>
      <c r="B3" s="2" t="s">
        <v>36</v>
      </c>
      <c r="C3" s="3">
        <v>46188</v>
      </c>
      <c r="D3" s="2">
        <v>1600</v>
      </c>
    </row>
    <row r="4" spans="1:4" x14ac:dyDescent="0.3">
      <c r="A4" s="2" t="s">
        <v>49</v>
      </c>
      <c r="B4" s="2" t="s">
        <v>50</v>
      </c>
      <c r="C4" s="3">
        <v>46193</v>
      </c>
      <c r="D4" s="2">
        <v>2200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4811-D2DF-4BC4-9E1A-AD5D7821B40A}">
  <dimension ref="A1:A2"/>
  <sheetViews>
    <sheetView workbookViewId="0">
      <selection sqref="A1:A2"/>
    </sheetView>
  </sheetViews>
  <sheetFormatPr baseColWidth="10" defaultRowHeight="14.4" x14ac:dyDescent="0.3"/>
  <sheetData>
    <row r="1" spans="1:1" ht="15" x14ac:dyDescent="0.35">
      <c r="A1" s="4" t="s">
        <v>51</v>
      </c>
    </row>
    <row r="2" spans="1:1" ht="15" x14ac:dyDescent="0.35">
      <c r="A2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PRODUITS</vt:lpstr>
      <vt:lpstr>COMMANDES</vt:lpstr>
      <vt:lpstr>PROJETS</vt:lpstr>
      <vt:lpstr>FACTURES</vt:lpstr>
      <vt:lpstr>Analyse 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lovatahiana RAZANAKOTO</dc:creator>
  <cp:lastModifiedBy>lovatahiana RAZANAKOTO</cp:lastModifiedBy>
  <dcterms:created xsi:type="dcterms:W3CDTF">2026-09-07T07:14:27Z</dcterms:created>
  <dcterms:modified xsi:type="dcterms:W3CDTF">2026-09-07T17:26:53Z</dcterms:modified>
</cp:coreProperties>
</file>