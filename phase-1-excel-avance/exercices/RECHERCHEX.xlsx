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5C53C735-7CA3-4DCE-928B-A287805E4569}" xr6:coauthVersionLast="47" xr6:coauthVersionMax="47" xr10:uidLastSave="{00000000-0000-0000-0000-000000000000}"/>
  <bookViews>
    <workbookView xWindow="-108" yWindow="-108" windowWidth="23256" windowHeight="12456" activeTab="3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Analyse Market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G4" i="4"/>
  <c r="G3" i="4"/>
  <c r="F2" i="4"/>
  <c r="F3" i="4"/>
  <c r="F4" i="4"/>
  <c r="E2" i="4"/>
  <c r="E3" i="4"/>
  <c r="E4" i="4"/>
  <c r="D2" i="2"/>
  <c r="D3" i="2"/>
  <c r="D4" i="2"/>
  <c r="D5" i="2"/>
  <c r="D6" i="2"/>
  <c r="F3" i="2"/>
  <c r="F4" i="2"/>
  <c r="F5" i="2"/>
  <c r="F6" i="2"/>
  <c r="E2" i="2"/>
  <c r="F2" i="2" s="1"/>
  <c r="E3" i="2"/>
  <c r="E4" i="2"/>
  <c r="E5" i="2"/>
  <c r="E6" i="2"/>
</calcChain>
</file>

<file path=xl/sharedStrings.xml><?xml version="1.0" encoding="utf-8"?>
<sst xmlns="http://schemas.openxmlformats.org/spreadsheetml/2006/main" count="73" uniqueCount="57">
  <si>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</si>
  <si>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</si>
  <si>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</si>
  <si>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</si>
  <si>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</si>
  <si>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</si>
  <si>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</si>
  <si>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</si>
  <si>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</si>
  <si>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</si>
  <si>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</si>
  <si>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</si>
  <si>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</si>
  <si>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</si>
  <si>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</si>
  <si>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</si>
  <si>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</si>
  <si>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</si>
  <si>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</si>
  <si>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</si>
  <si>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</si>
  <si>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</si>
  <si>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</si>
  <si>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</si>
  <si>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</si>
  <si>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</si>
  <si>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</si>
  <si>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</si>
  <si>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</si>
  <si>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</si>
  <si>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</si>
  <si>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</si>
  <si>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</si>
  <si>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</si>
  <si>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</si>
  <si>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</si>
  <si>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</si>
  <si>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</si>
  <si>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</si>
  <si>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</si>
  <si>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</si>
  <si>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</si>
  <si>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</si>
  <si>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</si>
  <si>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</si>
  <si>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</si>
  <si>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</si>
  <si>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</si>
  <si>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</si>
  <si>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</si>
  <si>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</si>
  <si>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r>
      <t>Feuille "UTILISATEURS"</t>
    </r>
    <r>
      <rPr>
        <sz val="10"/>
        <color rgb="FF0F1115"/>
        <rFont val="Segoe UI"/>
        <family val="2"/>
      </rPr>
      <t> : UserID, Email, Date_Inscription, Pays, Abonnement (Gratuit/Premium)</t>
    </r>
  </si>
  <si>
    <r>
      <t>Feuille "EVENEMENTS"</t>
    </r>
    <r>
      <rPr>
        <sz val="10"/>
        <color rgb="FF0F1115"/>
        <rFont val="Segoe UI"/>
        <family val="2"/>
      </rPr>
      <t> : UserID, Date_Action, Type_Action (clic, achat, visionnage), Valeur</t>
    </r>
  </si>
  <si>
    <t>Total</t>
  </si>
  <si>
    <t>Prix Unitai</t>
  </si>
  <si>
    <t>Cient</t>
  </si>
  <si>
    <t>Reste à Facturer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</si>
</sst>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  <font>
      <sz val="8"/>
      <color rgb="FF0F111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22" dataDxfId="21">
  <autoFilter ref="A1:E6" xr:uid="{90EDE2C6-7AF7-4BAF-82D7-5D20E6BE793E}"/>
  <tableColumns count="5">
    <tableColumn id="1" xr3:uid="{D229C281-9921-44DA-8ADF-2BBF174D448C}" name="Code" dataDxfId="20"/>
    <tableColumn id="2" xr3:uid="{329C4A42-FDFB-426D-A39F-6BF25703E85C}" name="Désignation" dataDxfId="19"/>
    <tableColumn id="3" xr3:uid="{EC89EC55-A0B2-47BC-ADFE-6BF88C9FCA42}" name="Catégorie" dataDxfId="18"/>
    <tableColumn id="4" xr3:uid="{56ADE8FF-2F4A-407C-949A-434522EFC0DF}" name="Prix_Unité" dataDxfId="17"/>
    <tableColumn id="5" xr3:uid="{90E1DEAE-B2F5-4396-A877-17964625C319}" name="Stock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15" dataDxfId="14">
  <autoFilter ref="A1:F6" xr:uid="{77BCDC36-CC41-4316-8477-40C0AF984E3C}"/>
  <tableColumns count="6">
    <tableColumn id="1" xr3:uid="{742C9074-A44B-4564-9109-4D96F296B411}" name="N° Cde" dataDxfId="13"/>
    <tableColumn id="2" xr3:uid="{A2E4C4D0-A8C1-4188-B1EA-885E977D2AD2}" name="Code_Article" dataDxfId="12"/>
    <tableColumn id="3" xr3:uid="{BBCFCE8B-0E9C-411D-966A-4B9BE6944EC4}" name="Quantité" dataDxfId="11"/>
    <tableColumn id="4" xr3:uid="{8DA8A676-86A2-4CA1-BE0E-24702F6148B1}" name="Désignation" dataDxfId="10">
      <calculatedColumnFormula>_xlfn.XLOOKUP(B2,PRODUITS!A:A,PRODUITS!B:B,"Arcticle Inconnu")</calculatedColumnFormula>
    </tableColumn>
    <tableColumn id="5" xr3:uid="{AFB335E0-9805-47AE-A890-299A2DE0AB1B}" name="Prix Unitai" dataDxfId="9">
      <calculatedColumnFormula>_xlfn.XLOOKUP(B2, PRODUITS!A:A, PRODUITS!D:D, 0)</calculatedColumnFormula>
    </tableColumn>
    <tableColumn id="6" xr3:uid="{F2E78198-992D-4F6C-A878-B11926E0A8BA}" name="Total" dataDxfId="8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7" dataDxfId="6">
  <autoFilter ref="A1:E5" xr:uid="{4E1EBF1E-6DCA-4D04-AC75-D39959706213}"/>
  <tableColumns count="5">
    <tableColumn id="1" xr3:uid="{B5568E22-E874-4844-A90D-4D19748F2760}" name="ID_Projet" dataDxfId="5"/>
    <tableColumn id="2" xr3:uid="{AB036400-2BCD-492D-8CF4-8FC7A0BCBEA4}" name="Client" dataDxfId="4"/>
    <tableColumn id="3" xr3:uid="{F0CC70DE-97A6-42FB-B377-AC5570A96FFE}" name="Type" dataDxfId="3"/>
    <tableColumn id="4" xr3:uid="{50E2533C-4F1E-4CED-A492-F9A6A554481B}" name="Budget_HT" dataDxfId="2"/>
    <tableColumn id="5" xr3:uid="{9AFB5181-2E05-4F02-A38E-BD00E0BA70C7}" name="Statut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8CC453-BA4A-4B93-9677-D3601A5FB97B}" name="Tableau4" displayName="Tableau4" ref="A1:G4" totalsRowShown="0" headerRowDxfId="30" dataDxfId="29">
  <autoFilter ref="A1:G4" xr:uid="{598CC453-BA4A-4B93-9677-D3601A5FB97B}"/>
  <tableColumns count="7">
    <tableColumn id="1" xr3:uid="{1E259E25-3161-47E0-A018-8E0F70CDE580}" name="N° Facture" dataDxfId="28"/>
    <tableColumn id="2" xr3:uid="{3A2EEB15-BC71-46C5-9701-E13263A52FA8}" name="ID_Projet" dataDxfId="27"/>
    <tableColumn id="3" xr3:uid="{CD2854B4-0546-42F0-9E52-F9A389F7F8BA}" name="Date" dataDxfId="26"/>
    <tableColumn id="4" xr3:uid="{CB0B43F0-A9DD-4511-926F-64A93F456B4C}" name="Montant_HT" dataDxfId="25"/>
    <tableColumn id="5" xr3:uid="{9D814BDE-B4C5-4A74-A5E2-63E9B58E97B2}" name="Cient" dataDxfId="24">
      <calculatedColumnFormula>_xlfn.XLOOKUP(B2,PROJETS!A:A,PROJETS!B:B,"Non Identifié")</calculatedColumnFormula>
    </tableColumn>
    <tableColumn id="6" xr3:uid="{8821E84F-EC42-4EE8-86F2-511E2897E8A6}" name="Statut" dataDxfId="23">
      <calculatedColumnFormula>_xlfn.XLOOKUP(B2,PROJETS!A:A,PROJETS!E:E,"Non Classifié")</calculatedColumnFormula>
    </tableColumn>
    <tableColumn id="7" xr3:uid="{70C5FF4B-049C-429F-9AAB-F9E3D6AA10FF}" name="Reste à Facturer" dataDxfId="0">
      <calculatedColumnFormula>_xlfn.XLOOKUP(B2,PROJETS!A:A,PROJETS!D:D,0)-SUMIF(FACTURES!F:F,F2,FACTURES!D:D)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workbookViewId="0">
      <selection activeCell="D9" sqref="D9"/>
    </sheetView>
  </sheetViews>
  <sheetFormatPr baseColWidth="10" defaultRowHeight="14.4" x14ac:dyDescent="0.3"/>
  <cols>
    <col min="2" max="2" width="13.21875" customWidth="1"/>
    <col min="4" max="4" width="14.5546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54</v>
      </c>
      <c r="F1" s="1" t="s">
        <v>53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_xlfn.XLOOKUP(B2,PRODUITS!A:A,PRODUITS!B:B,"Arcticle Inconnu")</f>
        <v>Écran 24"</v>
      </c>
      <c r="E2" s="1">
        <f>_xlfn.XLOOKUP(B2, PRODUITS!A:A, PRODUITS!D:D, 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_xlfn.XLOOKUP(B3,PRODUITS!A:A,PRODUITS!B:B,"Arcticle Inconnu")</f>
        <v>Clavier USB</v>
      </c>
      <c r="E3" s="1">
        <f>_xlfn.XLOOKUP(B3, PRODUITS!A:A, PRODUITS!D:D, 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_xlfn.XLOOKUP(B4,PRODUITS!A:A,PRODUITS!B:B,"Arcticle Inconnu")</f>
        <v>Webcam HD</v>
      </c>
      <c r="E4" s="1">
        <f>_xlfn.XLOOKUP(B4, PRODUITS!A:A, PRODUITS!D:D, 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_xlfn.XLOOKUP(B5,PRODUITS!A:A,PRODUITS!B:B,"Arcticle Inconnu")</f>
        <v>Arcticle Inconnu</v>
      </c>
      <c r="E5" s="1">
        <f>_xlfn.XLOOKUP(B5, PRODUITS!A:A, PRODUITS!D:D, 0)</f>
        <v>0</v>
      </c>
      <c r="F5" s="1">
        <f>Tableau2[[#This Row],[Quantité]]*Tableau2[[#This Row],[Prix Unitai]]</f>
        <v>0</v>
      </c>
    </row>
    <row r="6" spans="1:6" ht="26.4" x14ac:dyDescent="0.3">
      <c r="A6" s="2" t="s">
        <v>26</v>
      </c>
      <c r="B6" s="2" t="s">
        <v>8</v>
      </c>
      <c r="C6" s="2">
        <v>4</v>
      </c>
      <c r="D6" s="1" t="str">
        <f>_xlfn.XLOOKUP(B6,PRODUITS!A:A,PRODUITS!B:B,"Arcticle Inconnu")</f>
        <v>Souris sans fil</v>
      </c>
      <c r="E6" s="1">
        <f>_xlfn.XLOOKUP(B6, PRODUITS!A:A, PRODUITS!D:D, 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4.77734375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K4"/>
  <sheetViews>
    <sheetView tabSelected="1" workbookViewId="0">
      <selection activeCell="K1" sqref="K1:L4"/>
    </sheetView>
  </sheetViews>
  <sheetFormatPr baseColWidth="10" defaultRowHeight="14.4" x14ac:dyDescent="0.3"/>
  <cols>
    <col min="1" max="1" width="12.109375" customWidth="1"/>
    <col min="4" max="4" width="13.5546875" customWidth="1"/>
    <col min="7" max="7" width="18" customWidth="1"/>
    <col min="11" max="11" width="14.88671875" bestFit="1" customWidth="1"/>
  </cols>
  <sheetData>
    <row r="1" spans="1:11" x14ac:dyDescent="0.3">
      <c r="A1" s="1" t="s">
        <v>44</v>
      </c>
      <c r="B1" s="1" t="s">
        <v>27</v>
      </c>
      <c r="C1" s="1" t="s">
        <v>45</v>
      </c>
      <c r="D1" s="1" t="s">
        <v>46</v>
      </c>
      <c r="E1" s="1" t="s">
        <v>55</v>
      </c>
      <c r="F1" s="1" t="s">
        <v>31</v>
      </c>
      <c r="G1" s="1" t="s">
        <v>56</v>
      </c>
    </row>
    <row r="2" spans="1:11" x14ac:dyDescent="0.3">
      <c r="A2" s="2" t="s">
        <v>47</v>
      </c>
      <c r="B2" s="2" t="s">
        <v>32</v>
      </c>
      <c r="C2" s="3">
        <v>46174</v>
      </c>
      <c r="D2" s="2">
        <v>4500</v>
      </c>
      <c r="E2" s="1" t="str">
        <f>_xlfn.XLOOKUP(B2,PROJETS!A:A,PROJETS!B:B,"Non Identifié")</f>
        <v>Alpha</v>
      </c>
      <c r="F2" s="1" t="str">
        <f>_xlfn.XLOOKUP(B2,PROJETS!A:A,PROJETS!E:E,"Non Classifié")</f>
        <v>Terminé</v>
      </c>
      <c r="G2" s="1">
        <f>_xlfn.XLOOKUP(B2,PROJETS!A:A,PROJETS!D:D,0)-SUMIF(FACTURES!F:F,F2,FACTURES!D:D)</f>
        <v>0</v>
      </c>
      <c r="K2" s="5"/>
    </row>
    <row r="3" spans="1:11" x14ac:dyDescent="0.3">
      <c r="A3" s="2" t="s">
        <v>48</v>
      </c>
      <c r="B3" s="2" t="s">
        <v>36</v>
      </c>
      <c r="C3" s="3">
        <v>46188</v>
      </c>
      <c r="D3" s="2">
        <v>1600</v>
      </c>
      <c r="E3" s="1" t="str">
        <f>_xlfn.XLOOKUP(B3,PROJETS!A:A,PROJETS!B:B,"Non Identifié")</f>
        <v>Beta</v>
      </c>
      <c r="F3" s="1" t="str">
        <f>_xlfn.XLOOKUP(B3,PROJETS!A:A,PROJETS!E:E,"Non Classifié")</f>
        <v>En cours</v>
      </c>
      <c r="G3" s="1">
        <f>_xlfn.XLOOKUP(B3,PROJETS!A:A,PROJETS!D:D,0)-SUMIF(FACTURES!F:F,F3,FACTURES!D:D)</f>
        <v>1600</v>
      </c>
    </row>
    <row r="4" spans="1:11" x14ac:dyDescent="0.3">
      <c r="A4" s="2" t="s">
        <v>49</v>
      </c>
      <c r="B4" s="2" t="s">
        <v>50</v>
      </c>
      <c r="C4" s="3">
        <v>46193</v>
      </c>
      <c r="D4" s="2">
        <v>2200</v>
      </c>
      <c r="E4" s="1" t="str">
        <f>_xlfn.XLOOKUP(B4,PROJETS!A:A,PROJETS!B:B,"Non Identifié")</f>
        <v>Non Identifié</v>
      </c>
      <c r="F4" s="1" t="str">
        <f>_xlfn.XLOOKUP(B4,PROJETS!A:A,PROJETS!E:E,"Non Classifié")</f>
        <v>Non Classifié</v>
      </c>
      <c r="G4" s="1">
        <f>_xlfn.XLOOKUP(B4,PROJETS!A:A,PROJETS!D:D,0)-SUMIF(FACTURES!B:B,F2,FACTURES!D:D)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A2"/>
  <sheetViews>
    <sheetView workbookViewId="0">
      <selection sqref="A1:A2"/>
    </sheetView>
  </sheetViews>
  <sheetFormatPr baseColWidth="10" defaultRowHeight="14.4" x14ac:dyDescent="0.3"/>
  <sheetData>
    <row r="1" spans="1:1" ht="15" x14ac:dyDescent="0.35">
      <c r="A1" s="4" t="s">
        <v>51</v>
      </c>
    </row>
    <row r="2" spans="1:1" ht="15" x14ac:dyDescent="0.35">
      <c r="A2" s="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PRODUITS</vt:lpstr>
      <vt:lpstr>COMMANDES</vt:lpstr>
      <vt:lpstr>PROJETS</vt:lpstr>
      <vt:lpstr>FACTURES</vt:lpstr>
      <vt:lpstr>Analyse Marketing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2026-09-07T19:11:04Z</dcterms:modified>
</cp:coreProperties>
</file>