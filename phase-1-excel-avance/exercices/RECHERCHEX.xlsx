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excel-ai-journey\phase-1-excel-avance\exercices\"/>
    </mc:Choice>
  </mc:AlternateContent>
  <xr:revisionPtr revIDLastSave="0" documentId="13_ncr:1_{FD9238F8-9632-469C-BDF6-12C4567817CB}" xr6:coauthVersionLast="47" xr6:coauthVersionMax="47" xr10:uidLastSave="{00000000-0000-0000-0000-000000000000}"/>
  <bookViews>
    <workbookView xWindow="-108" yWindow="-108" windowWidth="23256" windowHeight="12456" activeTab="4" xr2:uid="{F1A20F38-2A4F-451B-B6F6-D18EC979FF5A}"/>
  </bookViews>
  <sheets>
    <sheet name="PRODUITS" sheetId="1" r:id="rId1"/>
    <sheet name="COMMANDES" sheetId="2" r:id="rId2"/>
    <sheet name="PROJETS" sheetId="3" r:id="rId3"/>
    <sheet name="FACTURES" sheetId="4" r:id="rId4"/>
    <sheet name="UTILISATEURS" sheetId="5" r:id="rId5"/>
    <sheet name="EVENEMENT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H3" i="4"/>
  <c r="H4" i="4"/>
  <c r="F2" i="4"/>
  <c r="F3" i="4"/>
  <c r="F4" i="4"/>
  <c r="G2" i="4" s="1"/>
  <c r="E2" i="4"/>
  <c r="E3" i="4"/>
  <c r="E4" i="4"/>
  <c r="D2" i="2"/>
  <c r="D3" i="2"/>
  <c r="D4" i="2"/>
  <c r="D5" i="2"/>
  <c r="D6" i="2"/>
  <c r="F2" i="2"/>
  <c r="F3" i="2"/>
  <c r="F4" i="2"/>
  <c r="F5" i="2"/>
  <c r="F6" i="2"/>
  <c r="E2" i="2"/>
  <c r="E3" i="2"/>
  <c r="E4" i="2"/>
  <c r="E5" i="2"/>
  <c r="E6" i="2"/>
  <c r="G4" i="4"/>
  <c r="G3" i="4" l="1"/>
</calcChain>
</file>

<file path=xl/sharedStrings.xml><?xml version="1.0" encoding="utf-8"?>
<sst xmlns="http://schemas.openxmlformats.org/spreadsheetml/2006/main" count="92" uniqueCount="76">
  <si>
    <t>Code</t>
  </si>
  <si>
    <t>Désignation</t>
  </si>
  <si>
    <t>Catégorie</t>
  </si>
  <si>
    <t>Prix_Unité</t>
  </si>
  <si>
    <t>Stock</t>
  </si>
  <si>
    <t>P01</t>
  </si>
  <si>
    <t>Clavier USB</t>
  </si>
  <si>
    <t>Périphérique</t>
  </si>
  <si>
    <t>P02</t>
  </si>
  <si>
    <t>Souris sans fil</t>
  </si>
  <si>
    <t>P03</t>
  </si>
  <si>
    <t>Écran 24"</t>
  </si>
  <si>
    <t>Écran</t>
  </si>
  <si>
    <t>P04</t>
  </si>
  <si>
    <t>Câble HDMI</t>
  </si>
  <si>
    <t>Accessoire</t>
  </si>
  <si>
    <t>P05</t>
  </si>
  <si>
    <t>Webcam HD</t>
  </si>
  <si>
    <t>N° Cde</t>
  </si>
  <si>
    <t>Code_Article</t>
  </si>
  <si>
    <t>Quantité</t>
  </si>
  <si>
    <t>C001</t>
  </si>
  <si>
    <t>C002</t>
  </si>
  <si>
    <t>C003</t>
  </si>
  <si>
    <t>C004</t>
  </si>
  <si>
    <t>P99</t>
  </si>
  <si>
    <t>C005</t>
  </si>
  <si>
    <t>ID_Projet</t>
  </si>
  <si>
    <t>Client</t>
  </si>
  <si>
    <t>Type</t>
  </si>
  <si>
    <t>Budget_HT</t>
  </si>
  <si>
    <t>Statut</t>
  </si>
  <si>
    <t>PRJ-101</t>
  </si>
  <si>
    <t>Alpha</t>
  </si>
  <si>
    <t>Web</t>
  </si>
  <si>
    <t>Terminé</t>
  </si>
  <si>
    <t>PRJ-102</t>
  </si>
  <si>
    <t>Beta</t>
  </si>
  <si>
    <t>SEO</t>
  </si>
  <si>
    <t>En cours</t>
  </si>
  <si>
    <t>PRJ-103</t>
  </si>
  <si>
    <t>Gamma</t>
  </si>
  <si>
    <t>Annulé</t>
  </si>
  <si>
    <t>...</t>
  </si>
  <si>
    <t>N° Facture</t>
  </si>
  <si>
    <t>Date</t>
  </si>
  <si>
    <t>Montant_HT</t>
  </si>
  <si>
    <t>F001</t>
  </si>
  <si>
    <t>F002</t>
  </si>
  <si>
    <t>F003</t>
  </si>
  <si>
    <t>PRJ-104</t>
  </si>
  <si>
    <t>Total</t>
  </si>
  <si>
    <t>Prix Unitai</t>
  </si>
  <si>
    <t>Cient</t>
  </si>
  <si>
    <t>Reste à Facturer</t>
  </si>
  <si>
    <t>Statut Projet</t>
  </si>
  <si>
    <t>Projet</t>
  </si>
  <si>
    <t>UserID</t>
  </si>
  <si>
    <t>Email</t>
  </si>
  <si>
    <t>Date_Inscription</t>
  </si>
  <si>
    <t>Pays</t>
  </si>
  <si>
    <t>Abonnement</t>
  </si>
  <si>
    <t>Date_Action</t>
  </si>
  <si>
    <t>Type_Action</t>
  </si>
  <si>
    <t>Valeur</t>
  </si>
  <si>
    <t>ID-1</t>
  </si>
  <si>
    <t>ID-2</t>
  </si>
  <si>
    <t>ID-3</t>
  </si>
  <si>
    <t>ID-4</t>
  </si>
  <si>
    <t>ID-5</t>
  </si>
  <si>
    <t>ID-6</t>
  </si>
  <si>
    <t>ID-7</t>
  </si>
  <si>
    <t>ID-8</t>
  </si>
  <si>
    <t>ID-9</t>
  </si>
  <si>
    <t>ID-10</t>
  </si>
  <si>
    <t>bozy.com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</si>
</sst>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9"/>
      <color rgb="FF0F1115"/>
      <name val="Segoe UI"/>
      <family val="2"/>
    </font>
    <font>
      <sz val="10"/>
      <color rgb="FF0F1115"/>
      <name val="Segoe UI"/>
      <family val="2"/>
    </font>
    <font>
      <sz val="8"/>
      <color rgb="FF0F1115"/>
      <name val="Consolas"/>
      <family val="3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center" wrapText="1" indent="1"/>
    </xf>
    <xf numFmtId="14" fontId="2" fillId="2" borderId="0" xfId="0" applyNumberFormat="1" applyFont="1" applyFill="1" applyAlignment="1">
      <alignment horizontal="left" vertical="center" wrapText="1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EDE2C6-7AF7-4BAF-82D7-5D20E6BE793E}" name="Tableau1" displayName="Tableau1" ref="A1:E6" totalsRowShown="0" headerRowDxfId="21" dataDxfId="20">
  <autoFilter ref="A1:E6" xr:uid="{90EDE2C6-7AF7-4BAF-82D7-5D20E6BE793E}"/>
  <tableColumns count="5">
    <tableColumn id="1" xr3:uid="{D229C281-9921-44DA-8ADF-2BBF174D448C}" name="Code" dataDxfId="19"/>
    <tableColumn id="2" xr3:uid="{329C4A42-FDFB-426D-A39F-6BF25703E85C}" name="Désignation" dataDxfId="18"/>
    <tableColumn id="3" xr3:uid="{EC89EC55-A0B2-47BC-ADFE-6BF88C9FCA42}" name="Catégorie" dataDxfId="17"/>
    <tableColumn id="4" xr3:uid="{56ADE8FF-2F4A-407C-949A-434522EFC0DF}" name="Prix_Unité" dataDxfId="16"/>
    <tableColumn id="5" xr3:uid="{90E1DEAE-B2F5-4396-A877-17964625C319}" name="Stock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CDC36-CC41-4316-8477-40C0AF984E3C}" name="Tableau2" displayName="Tableau2" ref="A1:F6" totalsRowShown="0" headerRowDxfId="14" dataDxfId="13">
  <autoFilter ref="A1:F6" xr:uid="{77BCDC36-CC41-4316-8477-40C0AF984E3C}"/>
  <tableColumns count="6">
    <tableColumn id="1" xr3:uid="{742C9074-A44B-4564-9109-4D96F296B411}" name="N° Cde" dataDxfId="12"/>
    <tableColumn id="2" xr3:uid="{A2E4C4D0-A8C1-4188-B1EA-885E977D2AD2}" name="Code_Article" dataDxfId="11"/>
    <tableColumn id="3" xr3:uid="{BBCFCE8B-0E9C-411D-966A-4B9BE6944EC4}" name="Quantité" dataDxfId="10"/>
    <tableColumn id="4" xr3:uid="{8DA8A676-86A2-4CA1-BE0E-24702F6148B1}" name="Désignation" dataDxfId="9">
      <calculatedColumnFormula>_xlfn.XLOOKUP(B2,PRODUITS!A:A,PRODUITS!B:B,"Article Inconnu")</calculatedColumnFormula>
    </tableColumn>
    <tableColumn id="5" xr3:uid="{AFB335E0-9805-47AE-A890-299A2DE0AB1B}" name="Prix Unitai" dataDxfId="8">
      <calculatedColumnFormula>_xlfn.XLOOKUP(B2,PRODUITS!A:A,PRODUITS!D:D,0)</calculatedColumnFormula>
    </tableColumn>
    <tableColumn id="6" xr3:uid="{F2E78198-992D-4F6C-A878-B11926E0A8BA}" name="Total" dataDxfId="7">
      <calculatedColumnFormula>Tableau2[[#This Row],[Quantité]]*Tableau2[[#This Row],[Prix Unitai]]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1EBF1E-6DCA-4D04-AC75-D39959706213}" name="Tableau3" displayName="Tableau3" ref="A1:E5" totalsRowShown="0" headerRowDxfId="6" dataDxfId="5">
  <autoFilter ref="A1:E5" xr:uid="{4E1EBF1E-6DCA-4D04-AC75-D39959706213}"/>
  <tableColumns count="5">
    <tableColumn id="1" xr3:uid="{B5568E22-E874-4844-A90D-4D19748F2760}" name="ID_Projet" dataDxfId="4"/>
    <tableColumn id="2" xr3:uid="{AB036400-2BCD-492D-8CF4-8FC7A0BCBEA4}" name="Client" dataDxfId="3"/>
    <tableColumn id="3" xr3:uid="{F0CC70DE-97A6-42FB-B377-AC5570A96FFE}" name="Type" dataDxfId="2"/>
    <tableColumn id="4" xr3:uid="{50E2533C-4F1E-4CED-A492-F9A6A554481B}" name="Budget_HT" dataDxfId="1"/>
    <tableColumn id="5" xr3:uid="{9AFB5181-2E05-4F02-A38E-BD00E0BA70C7}" name="Statut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8CC453-BA4A-4B93-9677-D3601A5FB97B}" name="Tableau4" displayName="Tableau4" ref="A1:H4" totalsRowShown="0" headerRowDxfId="31" dataDxfId="30">
  <autoFilter ref="A1:H4" xr:uid="{598CC453-BA4A-4B93-9677-D3601A5FB97B}"/>
  <tableColumns count="8">
    <tableColumn id="1" xr3:uid="{1E259E25-3161-47E0-A018-8E0F70CDE580}" name="N° Facture" dataDxfId="29"/>
    <tableColumn id="2" xr3:uid="{3A2EEB15-BC71-46C5-9701-E13263A52FA8}" name="ID_Projet" dataDxfId="28"/>
    <tableColumn id="3" xr3:uid="{CD2854B4-0546-42F0-9E52-F9A389F7F8BA}" name="Date" dataDxfId="27"/>
    <tableColumn id="4" xr3:uid="{CB0B43F0-A9DD-4511-926F-64A93F456B4C}" name="Montant_HT" dataDxfId="26"/>
    <tableColumn id="5" xr3:uid="{9D814BDE-B4C5-4A74-A5E2-63E9B58E97B2}" name="Cient" dataDxfId="25">
      <calculatedColumnFormula>_xlfn.XLOOKUP(B2,PROJETS!A:A,PROJETS!B:B,"Client Inconnu")</calculatedColumnFormula>
    </tableColumn>
    <tableColumn id="6" xr3:uid="{8821E84F-EC42-4EE8-86F2-511E2897E8A6}" name="Statut Projet" dataDxfId="24">
      <calculatedColumnFormula>_xlfn.XLOOKUP(B2,PROJETS!A:A,PROJETS!E:E,"Statut Inconnu")</calculatedColumnFormula>
    </tableColumn>
    <tableColumn id="7" xr3:uid="{70C5FF4B-049C-429F-9AAB-F9E3D6AA10FF}" name="Reste à Facturer" dataDxfId="23">
      <calculatedColumnFormula>_xlfn.XLOOKUP(B2,PROJETS!A:A,PROJETS!D:D,0)-SUMIF(FACTURES!F:F,F2,FACTURES!D:D)</calculatedColumnFormula>
    </tableColumn>
    <tableColumn id="8" xr3:uid="{441844BA-20F8-4D3F-AD8F-7723346E62BD}" name="Projet" dataDxfId="22">
      <calculatedColumnFormula>IF(OR(F2="Terminé", F2="Annulé"),"⚠️ Projet clôturé","En cours")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D19B-3663-41DC-A45D-28DE43A423B2}">
  <dimension ref="A1:E6"/>
  <sheetViews>
    <sheetView workbookViewId="0">
      <selection activeCell="D1" sqref="D1"/>
    </sheetView>
  </sheetViews>
  <sheetFormatPr baseColWidth="10" defaultRowHeight="14.4" x14ac:dyDescent="0.3"/>
  <cols>
    <col min="2" max="2" width="12.777343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>
        <v>25</v>
      </c>
      <c r="E2" s="2">
        <v>12</v>
      </c>
    </row>
    <row r="3" spans="1:5" ht="16.8" customHeight="1" x14ac:dyDescent="0.3">
      <c r="A3" s="2" t="s">
        <v>8</v>
      </c>
      <c r="B3" s="2" t="s">
        <v>9</v>
      </c>
      <c r="C3" s="2" t="s">
        <v>7</v>
      </c>
      <c r="D3" s="2">
        <v>18.5</v>
      </c>
      <c r="E3" s="2">
        <v>8</v>
      </c>
    </row>
    <row r="4" spans="1:5" x14ac:dyDescent="0.3">
      <c r="A4" s="2" t="s">
        <v>10</v>
      </c>
      <c r="B4" s="2" t="s">
        <v>11</v>
      </c>
      <c r="C4" s="2" t="s">
        <v>12</v>
      </c>
      <c r="D4" s="2">
        <v>149.9</v>
      </c>
      <c r="E4" s="2">
        <v>5</v>
      </c>
    </row>
    <row r="5" spans="1:5" x14ac:dyDescent="0.3">
      <c r="A5" s="2" t="s">
        <v>13</v>
      </c>
      <c r="B5" s="2" t="s">
        <v>14</v>
      </c>
      <c r="C5" s="2" t="s">
        <v>15</v>
      </c>
      <c r="D5" s="2">
        <v>9.9</v>
      </c>
      <c r="E5" s="2">
        <v>30</v>
      </c>
    </row>
    <row r="6" spans="1:5" x14ac:dyDescent="0.3">
      <c r="A6" s="2" t="s">
        <v>16</v>
      </c>
      <c r="B6" s="2" t="s">
        <v>17</v>
      </c>
      <c r="C6" s="2" t="s">
        <v>7</v>
      </c>
      <c r="D6" s="2">
        <v>45</v>
      </c>
      <c r="E6" s="2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865-93E0-48F6-9C7E-BD34DA8EACC7}">
  <dimension ref="A1:F6"/>
  <sheetViews>
    <sheetView workbookViewId="0">
      <selection activeCell="D3" sqref="D3"/>
    </sheetView>
  </sheetViews>
  <sheetFormatPr baseColWidth="10" defaultRowHeight="14.4" x14ac:dyDescent="0.3"/>
  <cols>
    <col min="2" max="2" width="13.21875" customWidth="1"/>
    <col min="4" max="4" width="14.5546875" customWidth="1"/>
    <col min="5" max="5" width="25.109375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1</v>
      </c>
      <c r="E1" s="1" t="s">
        <v>52</v>
      </c>
      <c r="F1" s="1" t="s">
        <v>51</v>
      </c>
    </row>
    <row r="2" spans="1:6" x14ac:dyDescent="0.3">
      <c r="A2" s="2" t="s">
        <v>21</v>
      </c>
      <c r="B2" s="2" t="s">
        <v>10</v>
      </c>
      <c r="C2" s="2">
        <v>2</v>
      </c>
      <c r="D2" s="1" t="str">
        <f>_xlfn.XLOOKUP(B2,PRODUITS!A:A,PRODUITS!B:B,"Article Inconnu")</f>
        <v>Écran 24"</v>
      </c>
      <c r="E2" s="1">
        <f>_xlfn.XLOOKUP(B2,PRODUITS!A:A,PRODUITS!D:D,0)</f>
        <v>149.9</v>
      </c>
      <c r="F2" s="1">
        <f>Tableau2[[#This Row],[Quantité]]*Tableau2[[#This Row],[Prix Unitai]]</f>
        <v>299.8</v>
      </c>
    </row>
    <row r="3" spans="1:6" x14ac:dyDescent="0.3">
      <c r="A3" s="2" t="s">
        <v>22</v>
      </c>
      <c r="B3" s="2" t="s">
        <v>5</v>
      </c>
      <c r="C3" s="2">
        <v>1</v>
      </c>
      <c r="D3" s="1" t="str">
        <f>_xlfn.XLOOKUP(B3,PRODUITS!A:A,PRODUITS!B:B,"Article Inconnu")</f>
        <v>Clavier USB</v>
      </c>
      <c r="E3" s="1">
        <f>_xlfn.XLOOKUP(B3,PRODUITS!A:A,PRODUITS!D:D,0)</f>
        <v>25</v>
      </c>
      <c r="F3" s="1">
        <f>Tableau2[[#This Row],[Quantité]]*Tableau2[[#This Row],[Prix Unitai]]</f>
        <v>25</v>
      </c>
    </row>
    <row r="4" spans="1:6" x14ac:dyDescent="0.3">
      <c r="A4" s="2" t="s">
        <v>23</v>
      </c>
      <c r="B4" s="2" t="s">
        <v>16</v>
      </c>
      <c r="C4" s="2">
        <v>3</v>
      </c>
      <c r="D4" s="1" t="str">
        <f>_xlfn.XLOOKUP(B4,PRODUITS!A:A,PRODUITS!B:B,"Article Inconnu")</f>
        <v>Webcam HD</v>
      </c>
      <c r="E4" s="1">
        <f>_xlfn.XLOOKUP(B4,PRODUITS!A:A,PRODUITS!D:D,0)</f>
        <v>45</v>
      </c>
      <c r="F4" s="1">
        <f>Tableau2[[#This Row],[Quantité]]*Tableau2[[#This Row],[Prix Unitai]]</f>
        <v>135</v>
      </c>
    </row>
    <row r="5" spans="1:6" x14ac:dyDescent="0.3">
      <c r="A5" s="2" t="s">
        <v>24</v>
      </c>
      <c r="B5" s="2" t="s">
        <v>25</v>
      </c>
      <c r="C5" s="2">
        <v>1</v>
      </c>
      <c r="D5" s="1" t="str">
        <f>_xlfn.XLOOKUP(B5,PRODUITS!A:A,PRODUITS!B:B,"Article Inconnu")</f>
        <v>Article Inconnu</v>
      </c>
      <c r="E5" s="1">
        <f>_xlfn.XLOOKUP(B5,PRODUITS!A:A,PRODUITS!D:D,0)</f>
        <v>0</v>
      </c>
      <c r="F5" s="1">
        <f>Tableau2[[#This Row],[Quantité]]*Tableau2[[#This Row],[Prix Unitai]]</f>
        <v>0</v>
      </c>
    </row>
    <row r="6" spans="1:6" x14ac:dyDescent="0.3">
      <c r="A6" s="2" t="s">
        <v>26</v>
      </c>
      <c r="B6" s="2" t="s">
        <v>8</v>
      </c>
      <c r="C6" s="2">
        <v>4</v>
      </c>
      <c r="D6" s="1" t="str">
        <f>_xlfn.XLOOKUP(B6,PRODUITS!A:A,PRODUITS!B:B,"Article Inconnu")</f>
        <v>Souris sans fil</v>
      </c>
      <c r="E6" s="1">
        <f>_xlfn.XLOOKUP(B6,PRODUITS!A:A,PRODUITS!D:D,0)</f>
        <v>18.5</v>
      </c>
      <c r="F6" s="1">
        <f>Tableau2[[#This Row],[Quantité]]*Tableau2[[#This Row],[Prix Unitai]]</f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4C5DA-584C-4BF8-B9E3-8CB4111A5556}">
  <dimension ref="A1:E5"/>
  <sheetViews>
    <sheetView workbookViewId="0">
      <selection sqref="A1:E5"/>
    </sheetView>
  </sheetViews>
  <sheetFormatPr baseColWidth="10" defaultRowHeight="14.4" x14ac:dyDescent="0.3"/>
  <cols>
    <col min="4" max="4" width="14.77734375" customWidth="1"/>
  </cols>
  <sheetData>
    <row r="1" spans="1:5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 x14ac:dyDescent="0.3">
      <c r="A2" s="2" t="s">
        <v>32</v>
      </c>
      <c r="B2" s="2" t="s">
        <v>33</v>
      </c>
      <c r="C2" s="2" t="s">
        <v>34</v>
      </c>
      <c r="D2" s="2">
        <v>4500</v>
      </c>
      <c r="E2" s="2" t="s">
        <v>35</v>
      </c>
    </row>
    <row r="3" spans="1:5" x14ac:dyDescent="0.3">
      <c r="A3" s="2" t="s">
        <v>36</v>
      </c>
      <c r="B3" s="2" t="s">
        <v>37</v>
      </c>
      <c r="C3" s="2" t="s">
        <v>38</v>
      </c>
      <c r="D3" s="2">
        <v>3200</v>
      </c>
      <c r="E3" s="2" t="s">
        <v>39</v>
      </c>
    </row>
    <row r="4" spans="1:5" x14ac:dyDescent="0.3">
      <c r="A4" s="2" t="s">
        <v>40</v>
      </c>
      <c r="B4" s="2" t="s">
        <v>41</v>
      </c>
      <c r="C4" s="2" t="s">
        <v>34</v>
      </c>
      <c r="D4" s="2">
        <v>7800</v>
      </c>
      <c r="E4" s="2" t="s">
        <v>42</v>
      </c>
    </row>
    <row r="5" spans="1:5" x14ac:dyDescent="0.3">
      <c r="A5" s="2" t="s">
        <v>43</v>
      </c>
      <c r="B5" s="2" t="s">
        <v>43</v>
      </c>
      <c r="C5" s="2" t="s">
        <v>43</v>
      </c>
      <c r="D5" s="2" t="s">
        <v>43</v>
      </c>
      <c r="E5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00F1-9571-4454-A036-942B9395AA83}">
  <dimension ref="A1:K4"/>
  <sheetViews>
    <sheetView workbookViewId="0">
      <selection activeCell="H3" sqref="H3"/>
    </sheetView>
  </sheetViews>
  <sheetFormatPr baseColWidth="10" defaultRowHeight="14.4" x14ac:dyDescent="0.3"/>
  <cols>
    <col min="1" max="1" width="12.109375" customWidth="1"/>
    <col min="4" max="4" width="13.5546875" customWidth="1"/>
    <col min="7" max="7" width="18" customWidth="1"/>
    <col min="8" max="8" width="23" customWidth="1"/>
    <col min="11" max="11" width="14.88671875" bestFit="1" customWidth="1"/>
  </cols>
  <sheetData>
    <row r="1" spans="1:11" ht="26.4" x14ac:dyDescent="0.3">
      <c r="A1" s="1" t="s">
        <v>44</v>
      </c>
      <c r="B1" s="1" t="s">
        <v>27</v>
      </c>
      <c r="C1" s="1" t="s">
        <v>45</v>
      </c>
      <c r="D1" s="1" t="s">
        <v>46</v>
      </c>
      <c r="E1" s="1" t="s">
        <v>53</v>
      </c>
      <c r="F1" s="1" t="s">
        <v>55</v>
      </c>
      <c r="G1" s="1" t="s">
        <v>54</v>
      </c>
      <c r="H1" s="1" t="s">
        <v>56</v>
      </c>
    </row>
    <row r="2" spans="1:11" x14ac:dyDescent="0.3">
      <c r="A2" s="2" t="s">
        <v>47</v>
      </c>
      <c r="B2" s="2" t="s">
        <v>32</v>
      </c>
      <c r="C2" s="3">
        <v>46174</v>
      </c>
      <c r="D2" s="2">
        <v>4500</v>
      </c>
      <c r="E2" s="1" t="str">
        <f>_xlfn.XLOOKUP(B2,PROJETS!A:A,PROJETS!B:B,"Client Inconnu")</f>
        <v>Alpha</v>
      </c>
      <c r="F2" s="1" t="str">
        <f>_xlfn.XLOOKUP(B2,PROJETS!A:A,PROJETS!E:E,"Statut Inconnu")</f>
        <v>Terminé</v>
      </c>
      <c r="G2" s="1">
        <f>_xlfn.XLOOKUP(B2,PROJETS!A:A,PROJETS!D:D,0)-SUMIF(F:F,"Terminé",D:D)</f>
        <v>0</v>
      </c>
      <c r="H2" s="1" t="str">
        <f t="shared" ref="H2:H4" si="0">IF(OR(F2="Terminé", F2="Annulé"),"⚠️ Projet clôturé","En cours")</f>
        <v>⚠️ Projet clôturé</v>
      </c>
      <c r="K2" s="5"/>
    </row>
    <row r="3" spans="1:11" x14ac:dyDescent="0.3">
      <c r="A3" s="2" t="s">
        <v>48</v>
      </c>
      <c r="B3" s="2" t="s">
        <v>36</v>
      </c>
      <c r="C3" s="3">
        <v>46188</v>
      </c>
      <c r="D3" s="2">
        <v>1600</v>
      </c>
      <c r="E3" s="1" t="str">
        <f>_xlfn.XLOOKUP(B3,PROJETS!A:A,PROJETS!B:B,"Client Inconnu")</f>
        <v>Beta</v>
      </c>
      <c r="F3" s="1" t="str">
        <f>_xlfn.XLOOKUP(B3,PROJETS!A:A,PROJETS!E:E,"Statut Inconnu")</f>
        <v>En cours</v>
      </c>
      <c r="G3" s="1">
        <f>_xlfn.XLOOKUP(B3,PROJETS!A:A,PROJETS!D:D,0)-SUMIF(FACTURES!F:F,F3,FACTURES!D:D)</f>
        <v>1600</v>
      </c>
      <c r="H3" s="1" t="str">
        <f t="shared" si="0"/>
        <v>En cours</v>
      </c>
    </row>
    <row r="4" spans="1:11" ht="35.4" customHeight="1" x14ac:dyDescent="0.3">
      <c r="A4" s="2" t="s">
        <v>49</v>
      </c>
      <c r="B4" s="2" t="s">
        <v>50</v>
      </c>
      <c r="C4" s="3">
        <v>46193</v>
      </c>
      <c r="D4" s="2">
        <v>2200</v>
      </c>
      <c r="E4" s="1" t="str">
        <f>_xlfn.XLOOKUP(B4,PROJETS!A:A,PROJETS!B:B,"Client Inconnu")</f>
        <v>Client Inconnu</v>
      </c>
      <c r="F4" s="1" t="str">
        <f>_xlfn.XLOOKUP(B4,PROJETS!A:A,PROJETS!E:E,"Statut Inconnu")</f>
        <v>Statut Inconnu</v>
      </c>
      <c r="G4" s="1">
        <f>_xlfn.XLOOKUP(B4,PROJETS!A:A,PROJETS!D:D,0)-SUMIF(FACTURES!B:B,F2,FACTURES!D:D)</f>
        <v>0</v>
      </c>
      <c r="H4" s="1" t="str">
        <f t="shared" si="0"/>
        <v>En cours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4811-D2DF-4BC4-9E1A-AD5D7821B40A}">
  <dimension ref="A1:E11"/>
  <sheetViews>
    <sheetView tabSelected="1" workbookViewId="0">
      <selection activeCell="C2" sqref="C2"/>
    </sheetView>
  </sheetViews>
  <sheetFormatPr baseColWidth="10" defaultRowHeight="14.4" x14ac:dyDescent="0.3"/>
  <sheetData>
    <row r="1" spans="1:5" ht="15" x14ac:dyDescent="0.35">
      <c r="A1" s="4" t="s">
        <v>57</v>
      </c>
      <c r="B1" t="s">
        <v>58</v>
      </c>
      <c r="C1" t="s">
        <v>59</v>
      </c>
      <c r="D1" t="s">
        <v>60</v>
      </c>
      <c r="E1" t="s">
        <v>61</v>
      </c>
    </row>
    <row r="2" spans="1:5" x14ac:dyDescent="0.3">
      <c r="A2" t="s">
        <v>65</v>
      </c>
      <c r="B2" t="s">
        <v>75</v>
      </c>
    </row>
    <row r="3" spans="1:5" x14ac:dyDescent="0.3">
      <c r="A3" t="s">
        <v>66</v>
      </c>
    </row>
    <row r="4" spans="1:5" x14ac:dyDescent="0.3">
      <c r="A4" t="s">
        <v>67</v>
      </c>
    </row>
    <row r="5" spans="1:5" x14ac:dyDescent="0.3">
      <c r="A5" t="s">
        <v>68</v>
      </c>
    </row>
    <row r="6" spans="1:5" x14ac:dyDescent="0.3">
      <c r="A6" t="s">
        <v>69</v>
      </c>
    </row>
    <row r="7" spans="1:5" x14ac:dyDescent="0.3">
      <c r="A7" t="s">
        <v>70</v>
      </c>
    </row>
    <row r="8" spans="1:5" x14ac:dyDescent="0.3">
      <c r="A8" t="s">
        <v>71</v>
      </c>
    </row>
    <row r="9" spans="1:5" x14ac:dyDescent="0.3">
      <c r="A9" t="s">
        <v>72</v>
      </c>
    </row>
    <row r="10" spans="1:5" x14ac:dyDescent="0.3">
      <c r="A10" t="s">
        <v>73</v>
      </c>
    </row>
    <row r="11" spans="1:5" x14ac:dyDescent="0.3">
      <c r="A11" t="s">
        <v>74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DF998-6947-4255-9DCD-599893D5E181}">
  <dimension ref="A1:D1"/>
  <sheetViews>
    <sheetView workbookViewId="0">
      <selection sqref="A1:XFD1"/>
    </sheetView>
  </sheetViews>
  <sheetFormatPr baseColWidth="10" defaultRowHeight="14.4" x14ac:dyDescent="0.3"/>
  <sheetData>
    <row r="1" spans="1:4" x14ac:dyDescent="0.3">
      <c r="A1" t="s">
        <v>57</v>
      </c>
      <c r="B1" t="s">
        <v>62</v>
      </c>
      <c r="C1" t="s">
        <v>63</v>
      </c>
      <c r="D1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PRODUITS</vt:lpstr>
      <vt:lpstr>COMMANDES</vt:lpstr>
      <vt:lpstr>PROJETS</vt:lpstr>
      <vt:lpstr>FACTURES</vt:lpstr>
      <vt:lpstr>UTILISATEURS</vt:lpstr>
      <vt:lpstr>EVENEMENTS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lovatahiana RAZANAKOTO</dc:creator>
  <cp:lastModifiedBy>lovatahiana RAZANAKOTO</cp:lastModifiedBy>
  <dcterms:created xsi:type="dcterms:W3CDTF">2026-09-07T07:14:27Z</dcterms:created>
  <dcterms:modified xsi:type="dcterms:W3CDTF">2026-09-08T04:04:16Z</dcterms:modified>
</cp:coreProperties>
</file>