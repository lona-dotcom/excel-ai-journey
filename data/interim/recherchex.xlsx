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excel-ai-journey\data\interim\"/>
    </mc:Choice>
  </mc:AlternateContent>
  <xr:revisionPtr revIDLastSave="0" documentId="13_ncr:1_{22D2AD76-8D26-4641-BF02-FB69EE80AEAA}" xr6:coauthVersionLast="47" xr6:coauthVersionMax="47" xr10:uidLastSave="{00000000-0000-0000-0000-000000000000}"/>
  <bookViews>
    <workbookView xWindow="-108" yWindow="-108" windowWidth="23256" windowHeight="12456" xr2:uid="{77FF62D6-1218-4B54-BB5C-6D0D934C6F06}"/>
  </bookViews>
  <sheets>
    <sheet name="RECHERCHE" sheetId="1" r:id="rId1"/>
    <sheet name="crm_customer_sessions" sheetId="2" r:id="rId2"/>
  </sheets>
  <definedNames>
    <definedName name="DonnéesExternes_1" localSheetId="1" hidden="1">'crm_customer_sessions'!$A$1:$U$51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  <c r="E2" i="1"/>
  <c r="D2" i="1"/>
  <c r="C2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064AF9-EC2C-419D-B180-6914A02D3E34}" keepAlive="1" name="Requête - crm_customer_sessions" description="Connexion à la requête « crm_customer_sessions » dans le classeur." type="5" refreshedVersion="8" background="1" saveData="1">
    <dbPr connection="Provider=Microsoft.Mashup.OleDb.1;Data Source=$Workbook$;Location=crm_customer_sessions;Extended Properties=&quot;&quot;" command="SELECT * FROM [crm_customer_sessions]"/>
  </connection>
</connections>
</file>

<file path=xl/sharedStrings.xml><?xml version="1.0" encoding="utf-8"?>
<sst xmlns="http://schemas.openxmlformats.org/spreadsheetml/2006/main" count="729" uniqueCount="351">
  <si>
    <t>customer_id</t>
  </si>
  <si>
    <t>session_id</t>
  </si>
  <si>
    <t>timestamp</t>
  </si>
  <si>
    <t>customer_name</t>
  </si>
  <si>
    <t>email</t>
  </si>
  <si>
    <t>phone_number</t>
  </si>
  <si>
    <t>age</t>
  </si>
  <si>
    <t>gender</t>
  </si>
  <si>
    <t>location</t>
  </si>
  <si>
    <t>device_type</t>
  </si>
  <si>
    <t>browser</t>
  </si>
  <si>
    <t>source_medium</t>
  </si>
  <si>
    <t>landing_page</t>
  </si>
  <si>
    <t>page_views</t>
  </si>
  <si>
    <t>duration</t>
  </si>
  <si>
    <t>actions</t>
  </si>
  <si>
    <t>conversion_status</t>
  </si>
  <si>
    <t>purchase_amount</t>
  </si>
  <si>
    <t>payment_method</t>
  </si>
  <si>
    <t>feedback_rating</t>
  </si>
  <si>
    <t>return_refund_status</t>
  </si>
  <si>
    <t>6860188c-6855-4c49-8bec-37f8c6b1e5a2</t>
  </si>
  <si>
    <t>Nicole Miller</t>
  </si>
  <si>
    <t>uhoffman@hotmail.com</t>
  </si>
  <si>
    <t>1911583591</t>
  </si>
  <si>
    <t>Female</t>
  </si>
  <si>
    <t>Baileyport, Namibia</t>
  </si>
  <si>
    <t>Desktop</t>
  </si>
  <si>
    <t>Chrome</t>
  </si>
  <si>
    <t>Paid</t>
  </si>
  <si>
    <t>/pattern</t>
  </si>
  <si>
    <t>Clicks</t>
  </si>
  <si>
    <t>Yes</t>
  </si>
  <si>
    <t>Debit Card</t>
  </si>
  <si>
    <t>No</t>
  </si>
  <si>
    <t>21e7f9e6-8730-4e59-9397-da67d5e53c1b</t>
  </si>
  <si>
    <t>Michael Hendrix</t>
  </si>
  <si>
    <t>vanessagonzalez@hotmail.com</t>
  </si>
  <si>
    <t>1089956423</t>
  </si>
  <si>
    <t>Male</t>
  </si>
  <si>
    <t>Michelleville, Nigeria</t>
  </si>
  <si>
    <t>Edge</t>
  </si>
  <si>
    <t>Referral</t>
  </si>
  <si>
    <t>/because</t>
  </si>
  <si>
    <t>Add to Cart</t>
  </si>
  <si>
    <t>Credit Card</t>
  </si>
  <si>
    <t>274881f6-2296-40be-b7b5-fe87539e2a84</t>
  </si>
  <si>
    <t>Arthur Wheeler</t>
  </si>
  <si>
    <t>rstafford@dunn.net</t>
  </si>
  <si>
    <t>(517)176-8673x2731</t>
  </si>
  <si>
    <t>Bishopchester, Jersey</t>
  </si>
  <si>
    <t>Mobile</t>
  </si>
  <si>
    <t>Organic</t>
  </si>
  <si>
    <t>/answer</t>
  </si>
  <si>
    <t>Bank Transfer</t>
  </si>
  <si>
    <t>03ee1bed-b9af-4d15-b3e3-098b851866a2</t>
  </si>
  <si>
    <t>Brenda Avila</t>
  </si>
  <si>
    <t>kimberly25@hotmail.com</t>
  </si>
  <si>
    <t>428.465.2995x3553</t>
  </si>
  <si>
    <t>Williamsbury, Bahamas</t>
  </si>
  <si>
    <t>Firefox</t>
  </si>
  <si>
    <t>/some</t>
  </si>
  <si>
    <t>Wishlist</t>
  </si>
  <si>
    <t>PayPal</t>
  </si>
  <si>
    <t>f622f007-42fa-4f45-b51c-3acf45e7284c</t>
  </si>
  <si>
    <t>Jasmine Coleman</t>
  </si>
  <si>
    <t>jason64@taylor.com</t>
  </si>
  <si>
    <t>3856394549</t>
  </si>
  <si>
    <t>Ernestmouth, Senegal</t>
  </si>
  <si>
    <t>Tablet</t>
  </si>
  <si>
    <t>/wind</t>
  </si>
  <si>
    <t>b97e71b0-18fa-425a-8d89-67217e7b5e59</t>
  </si>
  <si>
    <t>Luke Lawrence</t>
  </si>
  <si>
    <t>portertamara@gmail.com</t>
  </si>
  <si>
    <t>588.718.3146x43923</t>
  </si>
  <si>
    <t>Lake Devinville, Swaziland</t>
  </si>
  <si>
    <t>/rate</t>
  </si>
  <si>
    <t>7bd0fcc1-c3ce-4dfb-a397-049fa86af7f9</t>
  </si>
  <si>
    <t>April Reyes</t>
  </si>
  <si>
    <t>carrie93@mullen.org</t>
  </si>
  <si>
    <t>973.977.4600</t>
  </si>
  <si>
    <t>Novakmouth, French Polynesia</t>
  </si>
  <si>
    <t>Safari</t>
  </si>
  <si>
    <t>/year</t>
  </si>
  <si>
    <t>e5d483c8-80b9-4d64-9787-61f4b2166cdc</t>
  </si>
  <si>
    <t>Curtis Crawford</t>
  </si>
  <si>
    <t>kaylalopez@hotmail.com</t>
  </si>
  <si>
    <t>278.614.5943x50025</t>
  </si>
  <si>
    <t>West Johnville, Malawi</t>
  </si>
  <si>
    <t>/help</t>
  </si>
  <si>
    <t>8081dc75-38ed-4093-a3c1-c6dff535cd6c</t>
  </si>
  <si>
    <t>Carlos Fitzgerald</t>
  </si>
  <si>
    <t>ashley43@vaughn.com</t>
  </si>
  <si>
    <t>039.352.6749x90635</t>
  </si>
  <si>
    <t>Lake Daniel, Saint Helena</t>
  </si>
  <si>
    <t>Social Media</t>
  </si>
  <si>
    <t>/evening</t>
  </si>
  <si>
    <t>84d731cb-a358-4d44-8d25-6213ef4252f1</t>
  </si>
  <si>
    <t>Wayne Hebert</t>
  </si>
  <si>
    <t>tiffanywilson@yahoo.com</t>
  </si>
  <si>
    <t>+1-850-982-9125</t>
  </si>
  <si>
    <t>New John, Heard Island and McDonald Islands</t>
  </si>
  <si>
    <t>/TV</t>
  </si>
  <si>
    <t>61ade8f0-2935-478d-a229-d8d3edd8799c</t>
  </si>
  <si>
    <t>Tracy Wheeler</t>
  </si>
  <si>
    <t>ryan26@morris.com</t>
  </si>
  <si>
    <t>001-181-477-3541x2249</t>
  </si>
  <si>
    <t>Paulmouth, Namibia</t>
  </si>
  <si>
    <t>/trouble</t>
  </si>
  <si>
    <t>a1c2d9ec-2ef9-429f-bf09-db4996e389d5</t>
  </si>
  <si>
    <t>Natalie Becker</t>
  </si>
  <si>
    <t>kellytaylor@velasquez.com</t>
  </si>
  <si>
    <t>988-600-8582</t>
  </si>
  <si>
    <t>West Diamondchester, Western Sahara</t>
  </si>
  <si>
    <t>/fear</t>
  </si>
  <si>
    <t>9b5793c5-76cb-44e6-9e3a-7c9d95ca3b5e</t>
  </si>
  <si>
    <t>Douglas Murphy</t>
  </si>
  <si>
    <t>dennisadrian@gmail.com</t>
  </si>
  <si>
    <t>784.383.4930x14626</t>
  </si>
  <si>
    <t>South Kimberly, Mongolia</t>
  </si>
  <si>
    <t>/sound</t>
  </si>
  <si>
    <t>816242a2-0d6e-48bc-ba1f-f666718367aa</t>
  </si>
  <si>
    <t>Lisa Barber</t>
  </si>
  <si>
    <t>danielruiz@harrison.com</t>
  </si>
  <si>
    <t>(152)196-3678</t>
  </si>
  <si>
    <t>East Robert, Saint Martin</t>
  </si>
  <si>
    <t>/owner</t>
  </si>
  <si>
    <t>bd79ab6c-7215-4209-9964-47024a4e0697</t>
  </si>
  <si>
    <t>Emily Page</t>
  </si>
  <si>
    <t>bwaters@hall.com</t>
  </si>
  <si>
    <t>001-510-734-2373x34511</t>
  </si>
  <si>
    <t>Mclaughlinshire, Spain</t>
  </si>
  <si>
    <t>/name</t>
  </si>
  <si>
    <t>57a7d622-1e5e-402d-8f59-a96f10af78ae</t>
  </si>
  <si>
    <t>Michael Wolfe</t>
  </si>
  <si>
    <t>robertwest@powell-wolfe.net</t>
  </si>
  <si>
    <t>510.206.9779x63997</t>
  </si>
  <si>
    <t>West Amandafurt, Croatia</t>
  </si>
  <si>
    <t>/above</t>
  </si>
  <si>
    <t>c200c6d9-4a4d-4eac-b68f-00dc017075e2</t>
  </si>
  <si>
    <t>Joshua Hinton</t>
  </si>
  <si>
    <t>mason81@gmail.com</t>
  </si>
  <si>
    <t>(147)396-1743</t>
  </si>
  <si>
    <t>Monicashire, Brunei Darussalam</t>
  </si>
  <si>
    <t>/today</t>
  </si>
  <si>
    <t>9ed43fcd-74d6-4219-b6d8-0ba6c5b98f53</t>
  </si>
  <si>
    <t>Jennifer Hall</t>
  </si>
  <si>
    <t>eblankenship@yahoo.com</t>
  </si>
  <si>
    <t>001-548-415-7758x4710</t>
  </si>
  <si>
    <t>Jacobsburgh, Mongolia</t>
  </si>
  <si>
    <t>/race</t>
  </si>
  <si>
    <t>5d37b4fc-8df4-4fcf-9517-8abf9c833bcd</t>
  </si>
  <si>
    <t>Shelby Casey</t>
  </si>
  <si>
    <t>lcarey@gmail.com</t>
  </si>
  <si>
    <t>001-470-022-9859x130</t>
  </si>
  <si>
    <t>Port Josephside, French Southern Territories</t>
  </si>
  <si>
    <t>/result</t>
  </si>
  <si>
    <t>624b8cf6-3d26-4cd3-8b56-6a05c2b8a750</t>
  </si>
  <si>
    <t>Jason Phillips</t>
  </si>
  <si>
    <t>houstonmonica@gmail.com</t>
  </si>
  <si>
    <t>676-681-6557</t>
  </si>
  <si>
    <t>North Adrian, Netherlands Antilles</t>
  </si>
  <si>
    <t>/whole</t>
  </si>
  <si>
    <t>819d6fa8-5ec6-4331-b271-c2c3e41602a0</t>
  </si>
  <si>
    <t>Jose Love</t>
  </si>
  <si>
    <t>paynelaura@gmail.com</t>
  </si>
  <si>
    <t>0095138987</t>
  </si>
  <si>
    <t>Paulview, Maldives</t>
  </si>
  <si>
    <t>/indeed</t>
  </si>
  <si>
    <t>d867387b-2eb9-4120-86e2-7c47d426556e</t>
  </si>
  <si>
    <t>Laurie Mills</t>
  </si>
  <si>
    <t>lynchjodi@morrow.com</t>
  </si>
  <si>
    <t>(389)625-2217</t>
  </si>
  <si>
    <t>Floresmouth, Tuvalu</t>
  </si>
  <si>
    <t>/even</t>
  </si>
  <si>
    <t>7f2157bb-5252-4ee9-b026-09d0669de058</t>
  </si>
  <si>
    <t>Zachary Carson</t>
  </si>
  <si>
    <t>dmiller@hotmail.com</t>
  </si>
  <si>
    <t>001-695-124-2065x6146</t>
  </si>
  <si>
    <t>Jessicastad, Macao</t>
  </si>
  <si>
    <t>/number</t>
  </si>
  <si>
    <t>e3a257d0-e7ec-46bf-b365-351cbada1518</t>
  </si>
  <si>
    <t>Bradley Marks</t>
  </si>
  <si>
    <t>ksmith@wilson.com</t>
  </si>
  <si>
    <t>992-158-6908</t>
  </si>
  <si>
    <t>Andreland, Kazakhstan</t>
  </si>
  <si>
    <t>/choice</t>
  </si>
  <si>
    <t>6393c6fe-6007-4038-b596-f100254db05a</t>
  </si>
  <si>
    <t>Stephanie Smith</t>
  </si>
  <si>
    <t>lisanelson@gmail.com</t>
  </si>
  <si>
    <t>8375216220</t>
  </si>
  <si>
    <t>Petersontown, Pitcairn Islands</t>
  </si>
  <si>
    <t>/create</t>
  </si>
  <si>
    <t>ffe083be-d0e7-4a55-a0b8-cb08d66db429</t>
  </si>
  <si>
    <t>Rhonda Henry</t>
  </si>
  <si>
    <t>jonescharles@gmail.com</t>
  </si>
  <si>
    <t>189.500.6860x354</t>
  </si>
  <si>
    <t>Pagestad, Oman</t>
  </si>
  <si>
    <t>/region</t>
  </si>
  <si>
    <t>c4ef19fd-8edb-4621-a664-ce2f6a34708c</t>
  </si>
  <si>
    <t>Andrew Morris</t>
  </si>
  <si>
    <t>nathankim@buckley.com</t>
  </si>
  <si>
    <t>152.534.0814</t>
  </si>
  <si>
    <t>Timothyland, French Polynesia</t>
  </si>
  <si>
    <t>/wrong</t>
  </si>
  <si>
    <t>05121270-c176-4592-bfaf-01e7e01666b0</t>
  </si>
  <si>
    <t>Drew Hale</t>
  </si>
  <si>
    <t>loretta00@harris.biz</t>
  </si>
  <si>
    <t>771-772-4963x6371</t>
  </si>
  <si>
    <t>Wagnerburgh, Ukraine</t>
  </si>
  <si>
    <t>/type</t>
  </si>
  <si>
    <t>c47a2417-9fdc-4d6f-a81b-d7ff4bbd5b27</t>
  </si>
  <si>
    <t>Eric Jackson</t>
  </si>
  <si>
    <t>ehamilton@li.com</t>
  </si>
  <si>
    <t>001-557-079-3172x2946</t>
  </si>
  <si>
    <t>Port Shannon, Uganda</t>
  </si>
  <si>
    <t>/worry</t>
  </si>
  <si>
    <t>1580fc82-6d15-4080-bf88-ac14e1e81bf8</t>
  </si>
  <si>
    <t>Ashley Richardson</t>
  </si>
  <si>
    <t>alvin88@lee-ford.info</t>
  </si>
  <si>
    <t>+1-926-656-2229x340</t>
  </si>
  <si>
    <t>Moranfort, Rwanda</t>
  </si>
  <si>
    <t>/staff</t>
  </si>
  <si>
    <t>20ae4e74-238b-4d27-a7aa-da2652b8f659</t>
  </si>
  <si>
    <t>Mikayla Owens</t>
  </si>
  <si>
    <t>djohnson@stevens.biz</t>
  </si>
  <si>
    <t>+1-964-254-4593x10151</t>
  </si>
  <si>
    <t>Port Mark, Samoa</t>
  </si>
  <si>
    <t>/important</t>
  </si>
  <si>
    <t>f17bc3d9-1fd5-46f6-a835-3caccace8b03</t>
  </si>
  <si>
    <t>Shannon Boyle</t>
  </si>
  <si>
    <t>thomas30@yahoo.com</t>
  </si>
  <si>
    <t>(703)109-7432</t>
  </si>
  <si>
    <t>Allenfort, Antigua and Barbuda</t>
  </si>
  <si>
    <t>/sense</t>
  </si>
  <si>
    <t>100b5f87-3ccb-4a4d-9d3e-b030165e037f</t>
  </si>
  <si>
    <t>Sydney Henderson</t>
  </si>
  <si>
    <t>cynthia30@quinn-leonard.com</t>
  </si>
  <si>
    <t>(539)190-0942</t>
  </si>
  <si>
    <t>North Timothy, Saint Kitts and Nevis</t>
  </si>
  <si>
    <t>/kind</t>
  </si>
  <si>
    <t>d29cbed9-690c-4047-aa0b-2746a6834fec</t>
  </si>
  <si>
    <t>John Gonzalez</t>
  </si>
  <si>
    <t>eileen51@bailey.biz</t>
  </si>
  <si>
    <t>385.620.7584x0280</t>
  </si>
  <si>
    <t>East Kayla, Ethiopia</t>
  </si>
  <si>
    <t>/news</t>
  </si>
  <si>
    <t>3ba106ba-6b2f-4a45-9dd1-62cd82275efe</t>
  </si>
  <si>
    <t>Kimberly Lee</t>
  </si>
  <si>
    <t>rdowns@hotmail.com</t>
  </si>
  <si>
    <t>207-977-1451</t>
  </si>
  <si>
    <t>Campbelltown, Portugal</t>
  </si>
  <si>
    <t>/sometimes</t>
  </si>
  <si>
    <t>6c716981-aa5f-4cb0-b20d-353d4652a14a</t>
  </si>
  <si>
    <t>Colton Andrews</t>
  </si>
  <si>
    <t>bbarnes@hughes.biz</t>
  </si>
  <si>
    <t>+1-039-315-9582x329</t>
  </si>
  <si>
    <t>North Donaldport, Macedonia</t>
  </si>
  <si>
    <t>/I</t>
  </si>
  <si>
    <t>a64aaadb-65bf-41fd-9014-54a66c2304fa</t>
  </si>
  <si>
    <t>Emily Castaneda</t>
  </si>
  <si>
    <t>woodsusan@hotmail.com</t>
  </si>
  <si>
    <t>251-300-4074x61813</t>
  </si>
  <si>
    <t>Robertstad, Kuwait</t>
  </si>
  <si>
    <t>/here</t>
  </si>
  <si>
    <t>575ff485-efc3-41a6-8b40-1c00d0d8fd2a</t>
  </si>
  <si>
    <t>Kimberly Johnson</t>
  </si>
  <si>
    <t>hendricksmary@young-foster.com</t>
  </si>
  <si>
    <t>001-265-523-6238x9756</t>
  </si>
  <si>
    <t>Gibbston, Liberia</t>
  </si>
  <si>
    <t>/decision</t>
  </si>
  <si>
    <t>7148992b-3466-488e-b4e6-0c9778130bd0</t>
  </si>
  <si>
    <t>Mark Bradley</t>
  </si>
  <si>
    <t>estradaamber@hotmail.com</t>
  </si>
  <si>
    <t>(945)438-1038x38016</t>
  </si>
  <si>
    <t>New Mark, United States Virgin Islands</t>
  </si>
  <si>
    <t>/field</t>
  </si>
  <si>
    <t>1f44cbc6-c946-477c-8371-37eb43a82631</t>
  </si>
  <si>
    <t>Timothy Pierce</t>
  </si>
  <si>
    <t>ellisonsean@gmail.com</t>
  </si>
  <si>
    <t>921-935-0241x9803</t>
  </si>
  <si>
    <t>North Dave, Botswana</t>
  </si>
  <si>
    <t>/look</t>
  </si>
  <si>
    <t>edf76bde-6867-4137-9206-79de8b9d8e88</t>
  </si>
  <si>
    <t>Amanda Mcguire</t>
  </si>
  <si>
    <t>tina10@gmail.com</t>
  </si>
  <si>
    <t>(055)850-5421</t>
  </si>
  <si>
    <t>South Tammymouth, Macedonia</t>
  </si>
  <si>
    <t>/seek</t>
  </si>
  <si>
    <t>93718b7b-7cce-4491-bb4a-7ad17cdf532d</t>
  </si>
  <si>
    <t>Tammy Waller</t>
  </si>
  <si>
    <t>tiffanysolis@young.biz</t>
  </si>
  <si>
    <t>480-216-9182x103</t>
  </si>
  <si>
    <t>Philipstad, Czech Republic</t>
  </si>
  <si>
    <t>/arm</t>
  </si>
  <si>
    <t>b434c0e0-9d3b-457c-8e56-a66b4e92a6f1</t>
  </si>
  <si>
    <t>Larry Dawson</t>
  </si>
  <si>
    <t>caldwelljason@hotmail.com</t>
  </si>
  <si>
    <t>756-696-0730x0190</t>
  </si>
  <si>
    <t>Christopherland, Samoa</t>
  </si>
  <si>
    <t>/month</t>
  </si>
  <si>
    <t>bc31e87f-885a-4046-ba69-ae7faafa6ef5</t>
  </si>
  <si>
    <t>Lisa Grimes</t>
  </si>
  <si>
    <t>svargas@lozano.com</t>
  </si>
  <si>
    <t>(105)666-4106</t>
  </si>
  <si>
    <t>Holmesshire, Myanmar</t>
  </si>
  <si>
    <t>/others</t>
  </si>
  <si>
    <t>24cfdc32-d350-4f45-90ec-8c71b3c4a725</t>
  </si>
  <si>
    <t>Michele Petersen</t>
  </si>
  <si>
    <t>hannah00@hotmail.com</t>
  </si>
  <si>
    <t>611-304-9779x4696</t>
  </si>
  <si>
    <t>Gomezland, France</t>
  </si>
  <si>
    <t>/generation</t>
  </si>
  <si>
    <t>ff41f2d8-08d1-4594-8c75-fe9dd6a214ef</t>
  </si>
  <si>
    <t>Wesley Johnson</t>
  </si>
  <si>
    <t>rebeccabradley@hotmail.com</t>
  </si>
  <si>
    <t>861.879.7719</t>
  </si>
  <si>
    <t>North Kelly, Malta</t>
  </si>
  <si>
    <t>/husband</t>
  </si>
  <si>
    <t>81e15cb3-207c-4148-972a-d381531d0c84</t>
  </si>
  <si>
    <t>Brent Malone</t>
  </si>
  <si>
    <t>megan45@ochoa.com</t>
  </si>
  <si>
    <t>001-600-441-2150x43500</t>
  </si>
  <si>
    <t>Janicemouth, Croatia</t>
  </si>
  <si>
    <t>/class</t>
  </si>
  <si>
    <t>0c9cba06-7550-4c1e-b817-3a4f9bc38306</t>
  </si>
  <si>
    <t>Miss Carrie Walker</t>
  </si>
  <si>
    <t>jody34@hotmail.com</t>
  </si>
  <si>
    <t>(403)873-4264x13014</t>
  </si>
  <si>
    <t>North Aaron, Saint Lucia</t>
  </si>
  <si>
    <t>/once</t>
  </si>
  <si>
    <t>c54835cd-7cf2-4bed-b884-a19af0939a18</t>
  </si>
  <si>
    <t>Michelle Hardy</t>
  </si>
  <si>
    <t>john83@gmail.com</t>
  </si>
  <si>
    <t>638.467.5772x173</t>
  </si>
  <si>
    <t>Lake Hollymouth, Gabon</t>
  </si>
  <si>
    <t>/thus</t>
  </si>
  <si>
    <t>061aa12c-a03c-4227-a488-37460880cd99</t>
  </si>
  <si>
    <t>Mrs. Sara Alvarez PhD</t>
  </si>
  <si>
    <t>ukelley@simon.info</t>
  </si>
  <si>
    <t>624-798-3403x89892</t>
  </si>
  <si>
    <t>New Donna, Macedonia</t>
  </si>
  <si>
    <t>/knowledge</t>
  </si>
  <si>
    <t>CUSTOMER_ID</t>
  </si>
  <si>
    <t>Nom</t>
  </si>
  <si>
    <t>Email</t>
  </si>
  <si>
    <t>Localisation</t>
  </si>
  <si>
    <t>Page_views</t>
  </si>
  <si>
    <t>Durée</t>
  </si>
  <si>
    <t>Conversion</t>
  </si>
  <si>
    <t>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</si>
</sst>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B357D82-19E1-40EE-8B80-C19E1B44CE29}" autoFormatId="16" applyNumberFormats="0" applyBorderFormats="0" applyFontFormats="0" applyPatternFormats="0" applyAlignmentFormats="0" applyWidthHeightFormats="0">
  <queryTableRefresh nextId="22">
    <queryTableFields count="21">
      <queryTableField id="1" name="customer_id" tableColumnId="1"/>
      <queryTableField id="2" name="session_id" tableColumnId="2"/>
      <queryTableField id="3" name="timestamp" tableColumnId="3"/>
      <queryTableField id="4" name="customer_name" tableColumnId="4"/>
      <queryTableField id="5" name="email" tableColumnId="5"/>
      <queryTableField id="6" name="phone_number" tableColumnId="6"/>
      <queryTableField id="7" name="age" tableColumnId="7"/>
      <queryTableField id="8" name="gender" tableColumnId="8"/>
      <queryTableField id="9" name="location" tableColumnId="9"/>
      <queryTableField id="10" name="device_type" tableColumnId="10"/>
      <queryTableField id="11" name="browser" tableColumnId="11"/>
      <queryTableField id="12" name="source_medium" tableColumnId="12"/>
      <queryTableField id="13" name="landing_page" tableColumnId="13"/>
      <queryTableField id="14" name="page_views" tableColumnId="14"/>
      <queryTableField id="15" name="duration" tableColumnId="15"/>
      <queryTableField id="16" name="actions" tableColumnId="16"/>
      <queryTableField id="17" name="conversion_status" tableColumnId="17"/>
      <queryTableField id="18" name="purchase_amount" tableColumnId="18"/>
      <queryTableField id="19" name="payment_method" tableColumnId="19"/>
      <queryTableField id="20" name="feedback_rating" tableColumnId="20"/>
      <queryTableField id="21" name="return_refund_status" tableColumnId="2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C3466D-F027-45A6-9BEE-00C205B36EAC}" name="Tableau2" displayName="Tableau2" ref="A1:H2" totalsRowShown="0">
  <autoFilter ref="A1:H2" xr:uid="{D7C3466D-F027-45A6-9BEE-00C205B36EAC}"/>
  <tableColumns count="8">
    <tableColumn id="1" xr3:uid="{D6DDB3D7-AD38-4245-9E05-A21D1BBBE32D}" name="CUSTOMER_ID"/>
    <tableColumn id="2" xr3:uid="{5D749284-A7A2-40C5-B95B-B1A0A9B6BDF6}" name="Nom">
      <calculatedColumnFormula>_xlfn.XLOOKUP(Tableau2[[#This Row],[CUSTOMER_ID]],'crm_customer_sessions'!A:A,'crm_customer_sessions'!D:D,"Numero inexistant")</calculatedColumnFormula>
    </tableColumn>
    <tableColumn id="3" xr3:uid="{98C9D455-B531-4CE5-B4AE-87A70CB1A85D}" name="Email">
      <calculatedColumnFormula>_xlfn.XLOOKUP(A2,'crm_customer_sessions'!A:A,'crm_customer_sessions'!E:E,"Numero inexistant")</calculatedColumnFormula>
    </tableColumn>
    <tableColumn id="4" xr3:uid="{5C44913B-07D7-46E6-8C13-8D3FBF9B4A3A}" name="Localisation">
      <calculatedColumnFormula>_xlfn.XLOOKUP(A2,'crm_customer_sessions'!A:A,'crm_customer_sessions'!I:I,"Numero Introuvable")</calculatedColumnFormula>
    </tableColumn>
    <tableColumn id="5" xr3:uid="{E19A6DEB-15D5-4CFF-9F8F-9C6D3DD2F9A6}" name="Page_views">
      <calculatedColumnFormula>_xlfn.XLOOKUP(A2,'crm_customer_sessions'!A:A,'crm_customer_sessions'!N:N,"Non dispo")</calculatedColumnFormula>
    </tableColumn>
    <tableColumn id="6" xr3:uid="{B0076AE5-514B-4567-843C-C9842760FAA0}" name="Durée">
      <calculatedColumnFormula>_xlfn.XLOOKUP(A2,'crm_customer_sessions'!A:A,'crm_customer_sessions'!O:O,"Aucun")</calculatedColumnFormula>
    </tableColumn>
    <tableColumn id="7" xr3:uid="{0A878B76-33B6-4C66-AFEF-C189AE9BC93C}" name="Conversion">
      <calculatedColumnFormula>_xlfn.XLOOKUP(A2,'crm_customer_sessions'!A:A,'crm_customer_sessions'!Q:Q,"Aucun")</calculatedColumnFormula>
    </tableColumn>
    <tableColumn id="8" xr3:uid="{A96ECBB8-612A-492C-ACE4-910D43BDD897}" name="Session">
      <calculatedColumnFormula>IF(ISNA(_xlfn.XLOOKUP(A2,'crm_customer_sessions'!A:A,'crm_customer_sessions'!B:B)),"Aucune session trouvée","Données Disponibles")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E123F1-E07A-4196-A447-7D2691D22036}" name="crm_customer_sessions" displayName="crm_customer_sessions" ref="A1:U51" tableType="queryTable" totalsRowShown="0">
  <autoFilter ref="A1:U51" xr:uid="{FFE123F1-E07A-4196-A447-7D2691D22036}"/>
  <tableColumns count="21">
    <tableColumn id="1" xr3:uid="{6FD1DB58-9732-48E5-B828-5B33467F9358}" uniqueName="1" name="customer_id" queryTableFieldId="1"/>
    <tableColumn id="2" xr3:uid="{755307A2-41A3-4159-8A13-9DB02DB647FE}" uniqueName="2" name="session_id" queryTableFieldId="2" dataDxfId="14"/>
    <tableColumn id="3" xr3:uid="{C0C52A15-D74C-4A88-8DB6-DF6F53E3AB18}" uniqueName="3" name="timestamp" queryTableFieldId="3" dataDxfId="13"/>
    <tableColumn id="4" xr3:uid="{8076D0CF-9B06-499A-97CA-A5B444302DFC}" uniqueName="4" name="customer_name" queryTableFieldId="4" dataDxfId="12"/>
    <tableColumn id="5" xr3:uid="{3409EE5C-AED3-4792-A88C-7F20A03EF95A}" uniqueName="5" name="email" queryTableFieldId="5" dataDxfId="11"/>
    <tableColumn id="6" xr3:uid="{85FCD751-1A54-4B2E-9DA5-DA0207495E5E}" uniqueName="6" name="phone_number" queryTableFieldId="6" dataDxfId="10"/>
    <tableColumn id="7" xr3:uid="{EAEC8F16-3279-497F-A955-32D2DC791066}" uniqueName="7" name="age" queryTableFieldId="7"/>
    <tableColumn id="8" xr3:uid="{24FB4DB9-632F-485B-AA5C-6EE35A1400EB}" uniqueName="8" name="gender" queryTableFieldId="8" dataDxfId="9"/>
    <tableColumn id="9" xr3:uid="{504DAB31-6C0F-413F-A040-6809EECAE4DB}" uniqueName="9" name="location" queryTableFieldId="9" dataDxfId="8"/>
    <tableColumn id="10" xr3:uid="{23096C25-5257-4564-9892-3E6587E14819}" uniqueName="10" name="device_type" queryTableFieldId="10" dataDxfId="7"/>
    <tableColumn id="11" xr3:uid="{4C55358F-D185-426A-915F-585CE2C38430}" uniqueName="11" name="browser" queryTableFieldId="11" dataDxfId="6"/>
    <tableColumn id="12" xr3:uid="{3786A484-E482-4FAF-8AFF-6BA621B8D3A9}" uniqueName="12" name="source_medium" queryTableFieldId="12" dataDxfId="5"/>
    <tableColumn id="13" xr3:uid="{851DAF4E-3F17-4BDC-8F2D-48A654AE731E}" uniqueName="13" name="landing_page" queryTableFieldId="13" dataDxfId="4"/>
    <tableColumn id="14" xr3:uid="{1E625E5D-1877-456A-BFC7-887B7AABB979}" uniqueName="14" name="page_views" queryTableFieldId="14"/>
    <tableColumn id="15" xr3:uid="{DBD9C980-47DA-4F41-AF8A-B010C1CA6D9A}" uniqueName="15" name="duration" queryTableFieldId="15"/>
    <tableColumn id="16" xr3:uid="{53B6EE21-9CE6-4CE9-89FE-CE67772615EF}" uniqueName="16" name="actions" queryTableFieldId="16" dataDxfId="3"/>
    <tableColumn id="17" xr3:uid="{F3556F25-0A42-4A67-8633-F416A4D7CA26}" uniqueName="17" name="conversion_status" queryTableFieldId="17" dataDxfId="2"/>
    <tableColumn id="18" xr3:uid="{A5B3B971-7F58-431F-8377-6E7BDC1D4533}" uniqueName="18" name="purchase_amount" queryTableFieldId="18"/>
    <tableColumn id="19" xr3:uid="{1F72DAC3-0779-40E1-9C33-517BD49FFA26}" uniqueName="19" name="payment_method" queryTableFieldId="19" dataDxfId="1"/>
    <tableColumn id="20" xr3:uid="{24E497C3-7DA7-4ABC-A2D5-CB95EED33DBD}" uniqueName="20" name="feedback_rating" queryTableFieldId="20"/>
    <tableColumn id="21" xr3:uid="{DC81741E-060F-449B-82E8-CDDAA13E2E1D}" uniqueName="21" name="return_refund_status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EBC9-4116-4D1A-8274-47E23D96F887}">
  <dimension ref="A1:H2"/>
  <sheetViews>
    <sheetView tabSelected="1" workbookViewId="0">
      <selection activeCell="A3" sqref="A3"/>
    </sheetView>
  </sheetViews>
  <sheetFormatPr baseColWidth="10" defaultRowHeight="14.4" x14ac:dyDescent="0.3"/>
  <cols>
    <col min="1" max="1" width="14.77734375" customWidth="1"/>
    <col min="2" max="2" width="13.88671875" bestFit="1" customWidth="1"/>
    <col min="3" max="3" width="26.5546875" bestFit="1" customWidth="1"/>
    <col min="4" max="4" width="18.5546875" bestFit="1" customWidth="1"/>
    <col min="8" max="8" width="20" bestFit="1" customWidth="1"/>
  </cols>
  <sheetData>
    <row r="1" spans="1:8" x14ac:dyDescent="0.3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</row>
    <row r="2" spans="1:8" x14ac:dyDescent="0.3">
      <c r="A2">
        <v>737</v>
      </c>
      <c r="B2" t="str">
        <f>_xlfn.XLOOKUP(Tableau2[[#This Row],[CUSTOMER_ID]],'crm_customer_sessions'!A:A,'crm_customer_sessions'!D:D,"Numero inexistant")</f>
        <v>Arthur Wheeler</v>
      </c>
      <c r="C2" t="str">
        <f>_xlfn.XLOOKUP(A2,'crm_customer_sessions'!A:A,'crm_customer_sessions'!E:E,"Numero inexistant")</f>
        <v>rstafford@dunn.net</v>
      </c>
      <c r="D2" t="str">
        <f>_xlfn.XLOOKUP(A2,'crm_customer_sessions'!A:A,'crm_customer_sessions'!I:I,"Numero Introuvable")</f>
        <v>Bishopchester, Jersey</v>
      </c>
      <c r="E2">
        <f>_xlfn.XLOOKUP(A2,'crm_customer_sessions'!A:A,'crm_customer_sessions'!N:N,"Non dispo")</f>
        <v>5</v>
      </c>
      <c r="F2">
        <f>_xlfn.XLOOKUP(A2,'crm_customer_sessions'!A:A,'crm_customer_sessions'!O:O,"Aucun")</f>
        <v>153</v>
      </c>
      <c r="G2" t="str">
        <f>_xlfn.XLOOKUP(A2,'crm_customer_sessions'!A:A,'crm_customer_sessions'!Q:Q,"Aucun")</f>
        <v>Yes</v>
      </c>
      <c r="H2" t="str">
        <f>IF(ISNA(_xlfn.XLOOKUP(A2,'crm_customer_sessions'!A:A,'crm_customer_sessions'!B:B)),"Aucune session trouvée","Données Disponibles")</f>
        <v>Données Disponibles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4A56-1A1A-4813-9CB7-2E1A7746FB9E}">
  <dimension ref="A1:U51"/>
  <sheetViews>
    <sheetView workbookViewId="0">
      <selection activeCell="G1" sqref="G1:G1048576"/>
    </sheetView>
  </sheetViews>
  <sheetFormatPr baseColWidth="10" defaultRowHeight="14.4" x14ac:dyDescent="0.3"/>
  <cols>
    <col min="1" max="1" width="13.5546875" bestFit="1" customWidth="1"/>
    <col min="2" max="2" width="36.109375" bestFit="1" customWidth="1"/>
    <col min="3" max="3" width="15.21875" bestFit="1" customWidth="1"/>
    <col min="4" max="4" width="18.44140625" bestFit="1" customWidth="1"/>
    <col min="5" max="5" width="29" bestFit="1" customWidth="1"/>
    <col min="6" max="6" width="22" bestFit="1" customWidth="1"/>
    <col min="7" max="7" width="7.5546875" customWidth="1"/>
    <col min="8" max="8" width="8.88671875" bestFit="1" customWidth="1"/>
    <col min="9" max="9" width="38" bestFit="1" customWidth="1"/>
    <col min="10" max="10" width="13.21875" bestFit="1" customWidth="1"/>
    <col min="11" max="11" width="9.88671875" bestFit="1" customWidth="1"/>
    <col min="12" max="12" width="16.5546875" bestFit="1" customWidth="1"/>
    <col min="13" max="13" width="14.109375" bestFit="1" customWidth="1"/>
    <col min="14" max="14" width="12.6640625" bestFit="1" customWidth="1"/>
    <col min="15" max="15" width="10.21875" bestFit="1" customWidth="1"/>
    <col min="16" max="16" width="9.77734375" bestFit="1" customWidth="1"/>
    <col min="17" max="17" width="18.109375" bestFit="1" customWidth="1"/>
    <col min="18" max="18" width="18" bestFit="1" customWidth="1"/>
    <col min="19" max="19" width="17.77734375" bestFit="1" customWidth="1"/>
    <col min="20" max="20" width="16.5546875" bestFit="1" customWidth="1"/>
    <col min="21" max="21" width="20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826</v>
      </c>
      <c r="B2" t="s">
        <v>21</v>
      </c>
      <c r="C2" s="1">
        <v>45316.697500000002</v>
      </c>
      <c r="D2" t="s">
        <v>22</v>
      </c>
      <c r="E2" t="s">
        <v>23</v>
      </c>
      <c r="F2" t="s">
        <v>24</v>
      </c>
      <c r="G2">
        <v>40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18</v>
      </c>
      <c r="O2">
        <v>24</v>
      </c>
      <c r="P2" t="s">
        <v>31</v>
      </c>
      <c r="Q2" t="s">
        <v>32</v>
      </c>
      <c r="R2">
        <v>72</v>
      </c>
      <c r="S2" t="s">
        <v>33</v>
      </c>
      <c r="T2">
        <v>1</v>
      </c>
      <c r="U2" t="s">
        <v>34</v>
      </c>
    </row>
    <row r="3" spans="1:21" x14ac:dyDescent="0.3">
      <c r="A3">
        <v>45</v>
      </c>
      <c r="B3" t="s">
        <v>35</v>
      </c>
      <c r="C3" s="1">
        <v>45332.651018518518</v>
      </c>
      <c r="D3" t="s">
        <v>36</v>
      </c>
      <c r="E3" t="s">
        <v>37</v>
      </c>
      <c r="F3" t="s">
        <v>38</v>
      </c>
      <c r="G3">
        <v>70</v>
      </c>
      <c r="H3" t="s">
        <v>39</v>
      </c>
      <c r="I3" t="s">
        <v>40</v>
      </c>
      <c r="J3" t="s">
        <v>27</v>
      </c>
      <c r="K3" t="s">
        <v>41</v>
      </c>
      <c r="L3" t="s">
        <v>42</v>
      </c>
      <c r="M3" t="s">
        <v>43</v>
      </c>
      <c r="N3">
        <v>2</v>
      </c>
      <c r="O3">
        <v>538</v>
      </c>
      <c r="P3" t="s">
        <v>44</v>
      </c>
      <c r="Q3" t="s">
        <v>34</v>
      </c>
      <c r="R3">
        <v>75</v>
      </c>
      <c r="S3" t="s">
        <v>45</v>
      </c>
      <c r="T3">
        <v>2</v>
      </c>
      <c r="U3" t="s">
        <v>32</v>
      </c>
    </row>
    <row r="4" spans="1:21" x14ac:dyDescent="0.3">
      <c r="A4">
        <v>737</v>
      </c>
      <c r="B4" t="s">
        <v>46</v>
      </c>
      <c r="C4" s="1">
        <v>45423.854571759257</v>
      </c>
      <c r="D4" t="s">
        <v>47</v>
      </c>
      <c r="E4" t="s">
        <v>48</v>
      </c>
      <c r="F4" t="s">
        <v>49</v>
      </c>
      <c r="G4">
        <v>66</v>
      </c>
      <c r="H4" t="s">
        <v>39</v>
      </c>
      <c r="I4" t="s">
        <v>50</v>
      </c>
      <c r="J4" t="s">
        <v>51</v>
      </c>
      <c r="K4" t="s">
        <v>28</v>
      </c>
      <c r="L4" t="s">
        <v>52</v>
      </c>
      <c r="M4" t="s">
        <v>53</v>
      </c>
      <c r="N4">
        <v>5</v>
      </c>
      <c r="O4">
        <v>153</v>
      </c>
      <c r="P4" t="s">
        <v>44</v>
      </c>
      <c r="Q4" t="s">
        <v>32</v>
      </c>
      <c r="R4">
        <v>79</v>
      </c>
      <c r="S4" t="s">
        <v>54</v>
      </c>
      <c r="T4">
        <v>1</v>
      </c>
      <c r="U4" t="s">
        <v>34</v>
      </c>
    </row>
    <row r="5" spans="1:21" x14ac:dyDescent="0.3">
      <c r="A5">
        <v>863</v>
      </c>
      <c r="B5" t="s">
        <v>55</v>
      </c>
      <c r="C5" s="1">
        <v>45394.189583333333</v>
      </c>
      <c r="D5" t="s">
        <v>56</v>
      </c>
      <c r="E5" t="s">
        <v>57</v>
      </c>
      <c r="F5" t="s">
        <v>58</v>
      </c>
      <c r="G5">
        <v>51</v>
      </c>
      <c r="H5" t="s">
        <v>39</v>
      </c>
      <c r="I5" t="s">
        <v>59</v>
      </c>
      <c r="J5" t="s">
        <v>27</v>
      </c>
      <c r="K5" t="s">
        <v>60</v>
      </c>
      <c r="L5" t="s">
        <v>52</v>
      </c>
      <c r="M5" t="s">
        <v>61</v>
      </c>
      <c r="N5">
        <v>3</v>
      </c>
      <c r="O5">
        <v>285</v>
      </c>
      <c r="P5" t="s">
        <v>62</v>
      </c>
      <c r="Q5" t="s">
        <v>32</v>
      </c>
      <c r="R5">
        <v>64</v>
      </c>
      <c r="S5" t="s">
        <v>63</v>
      </c>
      <c r="T5">
        <v>5</v>
      </c>
      <c r="U5" t="s">
        <v>34</v>
      </c>
    </row>
    <row r="6" spans="1:21" x14ac:dyDescent="0.3">
      <c r="A6">
        <v>907</v>
      </c>
      <c r="B6" t="s">
        <v>64</v>
      </c>
      <c r="C6" s="1">
        <v>45311.750902777778</v>
      </c>
      <c r="D6" t="s">
        <v>65</v>
      </c>
      <c r="E6" t="s">
        <v>66</v>
      </c>
      <c r="F6" t="s">
        <v>67</v>
      </c>
      <c r="G6">
        <v>41</v>
      </c>
      <c r="H6" t="s">
        <v>39</v>
      </c>
      <c r="I6" t="s">
        <v>68</v>
      </c>
      <c r="J6" t="s">
        <v>69</v>
      </c>
      <c r="K6" t="s">
        <v>28</v>
      </c>
      <c r="L6" t="s">
        <v>42</v>
      </c>
      <c r="M6" t="s">
        <v>70</v>
      </c>
      <c r="N6">
        <v>5</v>
      </c>
      <c r="O6">
        <v>423</v>
      </c>
      <c r="P6" t="s">
        <v>44</v>
      </c>
      <c r="Q6" t="s">
        <v>32</v>
      </c>
      <c r="R6">
        <v>34</v>
      </c>
      <c r="S6" t="s">
        <v>45</v>
      </c>
      <c r="T6">
        <v>4</v>
      </c>
      <c r="U6" t="s">
        <v>34</v>
      </c>
    </row>
    <row r="7" spans="1:21" x14ac:dyDescent="0.3">
      <c r="A7">
        <v>841</v>
      </c>
      <c r="B7" t="s">
        <v>71</v>
      </c>
      <c r="C7" s="1">
        <v>45346.278749999998</v>
      </c>
      <c r="D7" t="s">
        <v>72</v>
      </c>
      <c r="E7" t="s">
        <v>73</v>
      </c>
      <c r="F7" t="s">
        <v>74</v>
      </c>
      <c r="G7">
        <v>61</v>
      </c>
      <c r="H7" t="s">
        <v>39</v>
      </c>
      <c r="I7" t="s">
        <v>75</v>
      </c>
      <c r="J7" t="s">
        <v>27</v>
      </c>
      <c r="K7" t="s">
        <v>41</v>
      </c>
      <c r="L7" t="s">
        <v>52</v>
      </c>
      <c r="M7" t="s">
        <v>76</v>
      </c>
      <c r="N7">
        <v>17</v>
      </c>
      <c r="O7">
        <v>126</v>
      </c>
      <c r="P7" t="s">
        <v>44</v>
      </c>
      <c r="Q7" t="s">
        <v>34</v>
      </c>
      <c r="R7">
        <v>50</v>
      </c>
      <c r="S7" t="s">
        <v>63</v>
      </c>
      <c r="T7">
        <v>3</v>
      </c>
      <c r="U7" t="s">
        <v>34</v>
      </c>
    </row>
    <row r="8" spans="1:21" x14ac:dyDescent="0.3">
      <c r="A8">
        <v>872</v>
      </c>
      <c r="B8" t="s">
        <v>77</v>
      </c>
      <c r="C8" s="1">
        <v>45320.212384259263</v>
      </c>
      <c r="D8" t="s">
        <v>78</v>
      </c>
      <c r="E8" t="s">
        <v>79</v>
      </c>
      <c r="F8" t="s">
        <v>80</v>
      </c>
      <c r="G8">
        <v>30</v>
      </c>
      <c r="H8" t="s">
        <v>39</v>
      </c>
      <c r="I8" t="s">
        <v>81</v>
      </c>
      <c r="J8" t="s">
        <v>51</v>
      </c>
      <c r="K8" t="s">
        <v>82</v>
      </c>
      <c r="L8" t="s">
        <v>29</v>
      </c>
      <c r="M8" t="s">
        <v>83</v>
      </c>
      <c r="N8">
        <v>17</v>
      </c>
      <c r="O8">
        <v>140</v>
      </c>
      <c r="P8" t="s">
        <v>44</v>
      </c>
      <c r="Q8" t="s">
        <v>32</v>
      </c>
      <c r="R8">
        <v>35</v>
      </c>
      <c r="S8" t="s">
        <v>54</v>
      </c>
      <c r="T8">
        <v>1</v>
      </c>
      <c r="U8" t="s">
        <v>32</v>
      </c>
    </row>
    <row r="9" spans="1:21" x14ac:dyDescent="0.3">
      <c r="A9">
        <v>18</v>
      </c>
      <c r="B9" t="s">
        <v>84</v>
      </c>
      <c r="C9" s="1">
        <v>45405.628541666665</v>
      </c>
      <c r="D9" t="s">
        <v>85</v>
      </c>
      <c r="E9" t="s">
        <v>86</v>
      </c>
      <c r="F9" t="s">
        <v>87</v>
      </c>
      <c r="G9">
        <v>40</v>
      </c>
      <c r="H9" t="s">
        <v>39</v>
      </c>
      <c r="I9" t="s">
        <v>88</v>
      </c>
      <c r="J9" t="s">
        <v>51</v>
      </c>
      <c r="K9" t="s">
        <v>28</v>
      </c>
      <c r="L9" t="s">
        <v>42</v>
      </c>
      <c r="M9" t="s">
        <v>89</v>
      </c>
      <c r="N9">
        <v>7</v>
      </c>
      <c r="O9">
        <v>313</v>
      </c>
      <c r="P9" t="s">
        <v>62</v>
      </c>
      <c r="Q9" t="s">
        <v>34</v>
      </c>
      <c r="R9">
        <v>91</v>
      </c>
      <c r="S9" t="s">
        <v>45</v>
      </c>
      <c r="T9">
        <v>2</v>
      </c>
      <c r="U9" t="s">
        <v>32</v>
      </c>
    </row>
    <row r="10" spans="1:21" x14ac:dyDescent="0.3">
      <c r="A10">
        <v>723</v>
      </c>
      <c r="B10" t="s">
        <v>90</v>
      </c>
      <c r="C10" s="1">
        <v>45372.374305555553</v>
      </c>
      <c r="D10" t="s">
        <v>91</v>
      </c>
      <c r="E10" t="s">
        <v>92</v>
      </c>
      <c r="F10" t="s">
        <v>93</v>
      </c>
      <c r="G10">
        <v>54</v>
      </c>
      <c r="H10" t="s">
        <v>25</v>
      </c>
      <c r="I10" t="s">
        <v>94</v>
      </c>
      <c r="J10" t="s">
        <v>51</v>
      </c>
      <c r="K10" t="s">
        <v>82</v>
      </c>
      <c r="L10" t="s">
        <v>95</v>
      </c>
      <c r="M10" t="s">
        <v>96</v>
      </c>
      <c r="N10">
        <v>16</v>
      </c>
      <c r="O10">
        <v>412</v>
      </c>
      <c r="P10" t="s">
        <v>31</v>
      </c>
      <c r="Q10" t="s">
        <v>34</v>
      </c>
      <c r="R10">
        <v>80</v>
      </c>
      <c r="S10" t="s">
        <v>54</v>
      </c>
      <c r="T10">
        <v>2</v>
      </c>
      <c r="U10" t="s">
        <v>34</v>
      </c>
    </row>
    <row r="11" spans="1:21" x14ac:dyDescent="0.3">
      <c r="A11">
        <v>274</v>
      </c>
      <c r="B11" t="s">
        <v>97</v>
      </c>
      <c r="C11" s="1">
        <v>45301.450833333336</v>
      </c>
      <c r="D11" t="s">
        <v>98</v>
      </c>
      <c r="E11" t="s">
        <v>99</v>
      </c>
      <c r="F11" t="s">
        <v>100</v>
      </c>
      <c r="G11">
        <v>69</v>
      </c>
      <c r="H11" t="s">
        <v>39</v>
      </c>
      <c r="I11" t="s">
        <v>101</v>
      </c>
      <c r="J11" t="s">
        <v>69</v>
      </c>
      <c r="K11" t="s">
        <v>41</v>
      </c>
      <c r="L11" t="s">
        <v>42</v>
      </c>
      <c r="M11" t="s">
        <v>102</v>
      </c>
      <c r="N11">
        <v>8</v>
      </c>
      <c r="O11">
        <v>312</v>
      </c>
      <c r="P11" t="s">
        <v>44</v>
      </c>
      <c r="Q11" t="s">
        <v>32</v>
      </c>
      <c r="R11">
        <v>81</v>
      </c>
      <c r="S11" t="s">
        <v>54</v>
      </c>
      <c r="T11">
        <v>2</v>
      </c>
      <c r="U11" t="s">
        <v>34</v>
      </c>
    </row>
    <row r="12" spans="1:21" x14ac:dyDescent="0.3">
      <c r="A12">
        <v>6</v>
      </c>
      <c r="B12" t="s">
        <v>103</v>
      </c>
      <c r="C12" s="1">
        <v>45305.024212962962</v>
      </c>
      <c r="D12" t="s">
        <v>104</v>
      </c>
      <c r="E12" t="s">
        <v>105</v>
      </c>
      <c r="F12" t="s">
        <v>106</v>
      </c>
      <c r="G12">
        <v>54</v>
      </c>
      <c r="H12" t="s">
        <v>25</v>
      </c>
      <c r="I12" t="s">
        <v>107</v>
      </c>
      <c r="J12" t="s">
        <v>69</v>
      </c>
      <c r="K12" t="s">
        <v>28</v>
      </c>
      <c r="L12" t="s">
        <v>42</v>
      </c>
      <c r="M12" t="s">
        <v>108</v>
      </c>
      <c r="N12">
        <v>14</v>
      </c>
      <c r="O12">
        <v>56</v>
      </c>
      <c r="P12" t="s">
        <v>31</v>
      </c>
      <c r="Q12" t="s">
        <v>32</v>
      </c>
      <c r="R12">
        <v>65</v>
      </c>
      <c r="S12" t="s">
        <v>63</v>
      </c>
      <c r="T12">
        <v>2</v>
      </c>
      <c r="U12" t="s">
        <v>32</v>
      </c>
    </row>
    <row r="13" spans="1:21" x14ac:dyDescent="0.3">
      <c r="A13">
        <v>624</v>
      </c>
      <c r="B13" t="s">
        <v>109</v>
      </c>
      <c r="C13" s="1">
        <v>45332.635625000003</v>
      </c>
      <c r="D13" t="s">
        <v>110</v>
      </c>
      <c r="E13" t="s">
        <v>111</v>
      </c>
      <c r="F13" t="s">
        <v>112</v>
      </c>
      <c r="G13">
        <v>37</v>
      </c>
      <c r="H13" t="s">
        <v>39</v>
      </c>
      <c r="I13" t="s">
        <v>113</v>
      </c>
      <c r="J13" t="s">
        <v>69</v>
      </c>
      <c r="K13" t="s">
        <v>41</v>
      </c>
      <c r="L13" t="s">
        <v>95</v>
      </c>
      <c r="M13" t="s">
        <v>114</v>
      </c>
      <c r="N13">
        <v>8</v>
      </c>
      <c r="O13">
        <v>261</v>
      </c>
      <c r="P13" t="s">
        <v>62</v>
      </c>
      <c r="Q13" t="s">
        <v>32</v>
      </c>
      <c r="R13">
        <v>65</v>
      </c>
      <c r="S13" t="s">
        <v>45</v>
      </c>
      <c r="T13">
        <v>5</v>
      </c>
      <c r="U13" t="s">
        <v>34</v>
      </c>
    </row>
    <row r="14" spans="1:21" x14ac:dyDescent="0.3">
      <c r="A14">
        <v>566</v>
      </c>
      <c r="B14" t="s">
        <v>115</v>
      </c>
      <c r="C14" s="1">
        <v>45423.192152777781</v>
      </c>
      <c r="D14" t="s">
        <v>116</v>
      </c>
      <c r="E14" t="s">
        <v>117</v>
      </c>
      <c r="F14" t="s">
        <v>118</v>
      </c>
      <c r="G14">
        <v>24</v>
      </c>
      <c r="H14" t="s">
        <v>39</v>
      </c>
      <c r="I14" t="s">
        <v>119</v>
      </c>
      <c r="J14" t="s">
        <v>27</v>
      </c>
      <c r="K14" t="s">
        <v>60</v>
      </c>
      <c r="L14" t="s">
        <v>95</v>
      </c>
      <c r="M14" t="s">
        <v>120</v>
      </c>
      <c r="N14">
        <v>15</v>
      </c>
      <c r="O14">
        <v>146</v>
      </c>
      <c r="P14" t="s">
        <v>62</v>
      </c>
      <c r="Q14" t="s">
        <v>32</v>
      </c>
      <c r="R14">
        <v>34</v>
      </c>
      <c r="S14" t="s">
        <v>54</v>
      </c>
      <c r="T14">
        <v>3</v>
      </c>
      <c r="U14" t="s">
        <v>34</v>
      </c>
    </row>
    <row r="15" spans="1:21" x14ac:dyDescent="0.3">
      <c r="A15">
        <v>232</v>
      </c>
      <c r="B15" t="s">
        <v>121</v>
      </c>
      <c r="C15" s="1">
        <v>45425.000902777778</v>
      </c>
      <c r="D15" t="s">
        <v>122</v>
      </c>
      <c r="E15" t="s">
        <v>123</v>
      </c>
      <c r="F15" t="s">
        <v>124</v>
      </c>
      <c r="G15">
        <v>26</v>
      </c>
      <c r="H15" t="s">
        <v>25</v>
      </c>
      <c r="I15" t="s">
        <v>125</v>
      </c>
      <c r="J15" t="s">
        <v>27</v>
      </c>
      <c r="K15" t="s">
        <v>60</v>
      </c>
      <c r="L15" t="s">
        <v>29</v>
      </c>
      <c r="M15" t="s">
        <v>126</v>
      </c>
      <c r="N15">
        <v>19</v>
      </c>
      <c r="O15">
        <v>371</v>
      </c>
      <c r="P15" t="s">
        <v>44</v>
      </c>
      <c r="Q15" t="s">
        <v>32</v>
      </c>
      <c r="R15">
        <v>14</v>
      </c>
      <c r="S15" t="s">
        <v>45</v>
      </c>
      <c r="T15">
        <v>3</v>
      </c>
      <c r="U15" t="s">
        <v>34</v>
      </c>
    </row>
    <row r="16" spans="1:21" x14ac:dyDescent="0.3">
      <c r="A16">
        <v>627</v>
      </c>
      <c r="B16" t="s">
        <v>127</v>
      </c>
      <c r="C16" s="1">
        <v>45433.87940972222</v>
      </c>
      <c r="D16" t="s">
        <v>128</v>
      </c>
      <c r="E16" t="s">
        <v>129</v>
      </c>
      <c r="F16" t="s">
        <v>130</v>
      </c>
      <c r="G16">
        <v>51</v>
      </c>
      <c r="H16" t="s">
        <v>25</v>
      </c>
      <c r="I16" t="s">
        <v>131</v>
      </c>
      <c r="J16" t="s">
        <v>69</v>
      </c>
      <c r="K16" t="s">
        <v>28</v>
      </c>
      <c r="L16" t="s">
        <v>42</v>
      </c>
      <c r="M16" t="s">
        <v>132</v>
      </c>
      <c r="N16">
        <v>1</v>
      </c>
      <c r="O16">
        <v>84</v>
      </c>
      <c r="P16" t="s">
        <v>31</v>
      </c>
      <c r="Q16" t="s">
        <v>32</v>
      </c>
      <c r="R16">
        <v>64</v>
      </c>
      <c r="S16" t="s">
        <v>33</v>
      </c>
      <c r="T16">
        <v>4</v>
      </c>
      <c r="U16" t="s">
        <v>32</v>
      </c>
    </row>
    <row r="17" spans="1:21" x14ac:dyDescent="0.3">
      <c r="A17">
        <v>519</v>
      </c>
      <c r="B17" t="s">
        <v>133</v>
      </c>
      <c r="C17" s="1">
        <v>45346.879733796297</v>
      </c>
      <c r="D17" t="s">
        <v>134</v>
      </c>
      <c r="E17" t="s">
        <v>135</v>
      </c>
      <c r="F17" t="s">
        <v>136</v>
      </c>
      <c r="G17">
        <v>25</v>
      </c>
      <c r="H17" t="s">
        <v>39</v>
      </c>
      <c r="I17" t="s">
        <v>137</v>
      </c>
      <c r="J17" t="s">
        <v>51</v>
      </c>
      <c r="K17" t="s">
        <v>28</v>
      </c>
      <c r="L17" t="s">
        <v>42</v>
      </c>
      <c r="M17" t="s">
        <v>138</v>
      </c>
      <c r="N17">
        <v>14</v>
      </c>
      <c r="O17">
        <v>560</v>
      </c>
      <c r="P17" t="s">
        <v>62</v>
      </c>
      <c r="Q17" t="s">
        <v>32</v>
      </c>
      <c r="R17">
        <v>38</v>
      </c>
      <c r="S17" t="s">
        <v>54</v>
      </c>
      <c r="T17">
        <v>5</v>
      </c>
      <c r="U17" t="s">
        <v>34</v>
      </c>
    </row>
    <row r="18" spans="1:21" x14ac:dyDescent="0.3">
      <c r="A18">
        <v>493</v>
      </c>
      <c r="B18" t="s">
        <v>139</v>
      </c>
      <c r="C18" s="1">
        <v>45305.400914351849</v>
      </c>
      <c r="D18" t="s">
        <v>140</v>
      </c>
      <c r="E18" t="s">
        <v>141</v>
      </c>
      <c r="F18" t="s">
        <v>142</v>
      </c>
      <c r="G18">
        <v>61</v>
      </c>
      <c r="H18" t="s">
        <v>39</v>
      </c>
      <c r="I18" t="s">
        <v>143</v>
      </c>
      <c r="J18" t="s">
        <v>27</v>
      </c>
      <c r="K18" t="s">
        <v>41</v>
      </c>
      <c r="L18" t="s">
        <v>52</v>
      </c>
      <c r="M18" t="s">
        <v>144</v>
      </c>
      <c r="N18">
        <v>6</v>
      </c>
      <c r="O18">
        <v>250</v>
      </c>
      <c r="P18" t="s">
        <v>31</v>
      </c>
      <c r="Q18" t="s">
        <v>34</v>
      </c>
      <c r="R18">
        <v>52</v>
      </c>
      <c r="S18" t="s">
        <v>45</v>
      </c>
      <c r="T18">
        <v>2</v>
      </c>
      <c r="U18" t="s">
        <v>32</v>
      </c>
    </row>
    <row r="19" spans="1:21" x14ac:dyDescent="0.3">
      <c r="A19">
        <v>822</v>
      </c>
      <c r="B19" t="s">
        <v>145</v>
      </c>
      <c r="C19" s="1">
        <v>45357.486759259256</v>
      </c>
      <c r="D19" t="s">
        <v>146</v>
      </c>
      <c r="E19" t="s">
        <v>147</v>
      </c>
      <c r="F19" t="s">
        <v>148</v>
      </c>
      <c r="G19">
        <v>52</v>
      </c>
      <c r="H19" t="s">
        <v>39</v>
      </c>
      <c r="I19" t="s">
        <v>149</v>
      </c>
      <c r="J19" t="s">
        <v>27</v>
      </c>
      <c r="K19" t="s">
        <v>41</v>
      </c>
      <c r="L19" t="s">
        <v>42</v>
      </c>
      <c r="M19" t="s">
        <v>150</v>
      </c>
      <c r="N19">
        <v>6</v>
      </c>
      <c r="O19">
        <v>320</v>
      </c>
      <c r="P19" t="s">
        <v>44</v>
      </c>
      <c r="Q19" t="s">
        <v>32</v>
      </c>
      <c r="R19">
        <v>32</v>
      </c>
      <c r="S19" t="s">
        <v>54</v>
      </c>
      <c r="T19">
        <v>5</v>
      </c>
      <c r="U19" t="s">
        <v>34</v>
      </c>
    </row>
    <row r="20" spans="1:21" x14ac:dyDescent="0.3">
      <c r="A20">
        <v>311</v>
      </c>
      <c r="B20" t="s">
        <v>151</v>
      </c>
      <c r="C20" s="1">
        <v>45430.797442129631</v>
      </c>
      <c r="D20" t="s">
        <v>152</v>
      </c>
      <c r="E20" t="s">
        <v>153</v>
      </c>
      <c r="F20" t="s">
        <v>154</v>
      </c>
      <c r="G20">
        <v>46</v>
      </c>
      <c r="H20" t="s">
        <v>25</v>
      </c>
      <c r="I20" t="s">
        <v>155</v>
      </c>
      <c r="J20" t="s">
        <v>51</v>
      </c>
      <c r="K20" t="s">
        <v>28</v>
      </c>
      <c r="L20" t="s">
        <v>42</v>
      </c>
      <c r="M20" t="s">
        <v>156</v>
      </c>
      <c r="N20">
        <v>8</v>
      </c>
      <c r="O20">
        <v>404</v>
      </c>
      <c r="P20" t="s">
        <v>31</v>
      </c>
      <c r="Q20" t="s">
        <v>32</v>
      </c>
      <c r="R20">
        <v>15</v>
      </c>
      <c r="S20" t="s">
        <v>45</v>
      </c>
      <c r="T20">
        <v>1</v>
      </c>
      <c r="U20" t="s">
        <v>34</v>
      </c>
    </row>
    <row r="21" spans="1:21" x14ac:dyDescent="0.3">
      <c r="A21">
        <v>321</v>
      </c>
      <c r="B21" t="s">
        <v>157</v>
      </c>
      <c r="C21" s="1">
        <v>45384.927175925928</v>
      </c>
      <c r="D21" t="s">
        <v>158</v>
      </c>
      <c r="E21" t="s">
        <v>159</v>
      </c>
      <c r="F21" t="s">
        <v>160</v>
      </c>
      <c r="G21">
        <v>44</v>
      </c>
      <c r="H21" t="s">
        <v>25</v>
      </c>
      <c r="I21" t="s">
        <v>161</v>
      </c>
      <c r="J21" t="s">
        <v>51</v>
      </c>
      <c r="K21" t="s">
        <v>60</v>
      </c>
      <c r="L21" t="s">
        <v>95</v>
      </c>
      <c r="M21" t="s">
        <v>162</v>
      </c>
      <c r="N21">
        <v>14</v>
      </c>
      <c r="O21">
        <v>94</v>
      </c>
      <c r="P21" t="s">
        <v>62</v>
      </c>
      <c r="Q21" t="s">
        <v>32</v>
      </c>
      <c r="R21">
        <v>56</v>
      </c>
      <c r="S21" t="s">
        <v>63</v>
      </c>
      <c r="T21">
        <v>3</v>
      </c>
      <c r="U21" t="s">
        <v>34</v>
      </c>
    </row>
    <row r="22" spans="1:21" x14ac:dyDescent="0.3">
      <c r="A22">
        <v>571</v>
      </c>
      <c r="B22" t="s">
        <v>163</v>
      </c>
      <c r="C22" s="1">
        <v>45403.387245370373</v>
      </c>
      <c r="D22" t="s">
        <v>164</v>
      </c>
      <c r="E22" t="s">
        <v>165</v>
      </c>
      <c r="F22" t="s">
        <v>166</v>
      </c>
      <c r="G22">
        <v>52</v>
      </c>
      <c r="H22" t="s">
        <v>39</v>
      </c>
      <c r="I22" t="s">
        <v>167</v>
      </c>
      <c r="J22" t="s">
        <v>51</v>
      </c>
      <c r="K22" t="s">
        <v>60</v>
      </c>
      <c r="L22" t="s">
        <v>42</v>
      </c>
      <c r="M22" t="s">
        <v>168</v>
      </c>
      <c r="N22">
        <v>10</v>
      </c>
      <c r="O22">
        <v>232</v>
      </c>
      <c r="P22" t="s">
        <v>62</v>
      </c>
      <c r="Q22" t="s">
        <v>34</v>
      </c>
      <c r="R22">
        <v>29</v>
      </c>
      <c r="S22" t="s">
        <v>33</v>
      </c>
      <c r="T22">
        <v>5</v>
      </c>
      <c r="U22" t="s">
        <v>34</v>
      </c>
    </row>
    <row r="23" spans="1:21" x14ac:dyDescent="0.3">
      <c r="A23">
        <v>583</v>
      </c>
      <c r="B23" t="s">
        <v>169</v>
      </c>
      <c r="C23" s="1">
        <v>45429.585578703707</v>
      </c>
      <c r="D23" t="s">
        <v>170</v>
      </c>
      <c r="E23" t="s">
        <v>171</v>
      </c>
      <c r="F23" t="s">
        <v>172</v>
      </c>
      <c r="G23">
        <v>53</v>
      </c>
      <c r="H23" t="s">
        <v>39</v>
      </c>
      <c r="I23" t="s">
        <v>173</v>
      </c>
      <c r="J23" t="s">
        <v>27</v>
      </c>
      <c r="K23" t="s">
        <v>28</v>
      </c>
      <c r="L23" t="s">
        <v>52</v>
      </c>
      <c r="M23" t="s">
        <v>174</v>
      </c>
      <c r="N23">
        <v>19</v>
      </c>
      <c r="O23">
        <v>217</v>
      </c>
      <c r="P23" t="s">
        <v>31</v>
      </c>
      <c r="Q23" t="s">
        <v>34</v>
      </c>
      <c r="R23">
        <v>72</v>
      </c>
      <c r="S23" t="s">
        <v>45</v>
      </c>
      <c r="T23">
        <v>4</v>
      </c>
      <c r="U23" t="s">
        <v>34</v>
      </c>
    </row>
    <row r="24" spans="1:21" x14ac:dyDescent="0.3">
      <c r="A24">
        <v>999</v>
      </c>
      <c r="B24" t="s">
        <v>175</v>
      </c>
      <c r="C24" s="1">
        <v>45435.206967592596</v>
      </c>
      <c r="D24" t="s">
        <v>176</v>
      </c>
      <c r="E24" t="s">
        <v>177</v>
      </c>
      <c r="F24" t="s">
        <v>178</v>
      </c>
      <c r="G24">
        <v>48</v>
      </c>
      <c r="H24" t="s">
        <v>39</v>
      </c>
      <c r="I24" t="s">
        <v>179</v>
      </c>
      <c r="J24" t="s">
        <v>69</v>
      </c>
      <c r="K24" t="s">
        <v>28</v>
      </c>
      <c r="L24" t="s">
        <v>95</v>
      </c>
      <c r="M24" t="s">
        <v>180</v>
      </c>
      <c r="N24">
        <v>10</v>
      </c>
      <c r="O24">
        <v>348</v>
      </c>
      <c r="P24" t="s">
        <v>62</v>
      </c>
      <c r="Q24" t="s">
        <v>32</v>
      </c>
      <c r="R24">
        <v>25</v>
      </c>
      <c r="S24" t="s">
        <v>63</v>
      </c>
      <c r="T24">
        <v>4</v>
      </c>
      <c r="U24" t="s">
        <v>34</v>
      </c>
    </row>
    <row r="25" spans="1:21" x14ac:dyDescent="0.3">
      <c r="A25">
        <v>183</v>
      </c>
      <c r="B25" t="s">
        <v>181</v>
      </c>
      <c r="C25" s="1">
        <v>45338.876886574071</v>
      </c>
      <c r="D25" t="s">
        <v>182</v>
      </c>
      <c r="E25" t="s">
        <v>183</v>
      </c>
      <c r="F25" t="s">
        <v>184</v>
      </c>
      <c r="G25">
        <v>33</v>
      </c>
      <c r="H25" t="s">
        <v>39</v>
      </c>
      <c r="I25" t="s">
        <v>185</v>
      </c>
      <c r="J25" t="s">
        <v>69</v>
      </c>
      <c r="K25" t="s">
        <v>60</v>
      </c>
      <c r="L25" t="s">
        <v>42</v>
      </c>
      <c r="M25" t="s">
        <v>186</v>
      </c>
      <c r="N25">
        <v>16</v>
      </c>
      <c r="O25">
        <v>214</v>
      </c>
      <c r="P25" t="s">
        <v>62</v>
      </c>
      <c r="Q25" t="s">
        <v>34</v>
      </c>
      <c r="R25">
        <v>15</v>
      </c>
      <c r="S25" t="s">
        <v>63</v>
      </c>
      <c r="T25">
        <v>2</v>
      </c>
      <c r="U25" t="s">
        <v>34</v>
      </c>
    </row>
    <row r="26" spans="1:21" x14ac:dyDescent="0.3">
      <c r="A26">
        <v>632</v>
      </c>
      <c r="B26" t="s">
        <v>187</v>
      </c>
      <c r="C26" s="1">
        <v>45419.06145833333</v>
      </c>
      <c r="D26" t="s">
        <v>188</v>
      </c>
      <c r="E26" t="s">
        <v>189</v>
      </c>
      <c r="F26" t="s">
        <v>190</v>
      </c>
      <c r="G26">
        <v>55</v>
      </c>
      <c r="H26" t="s">
        <v>25</v>
      </c>
      <c r="I26" t="s">
        <v>191</v>
      </c>
      <c r="J26" t="s">
        <v>51</v>
      </c>
      <c r="K26" t="s">
        <v>28</v>
      </c>
      <c r="L26" t="s">
        <v>42</v>
      </c>
      <c r="M26" t="s">
        <v>192</v>
      </c>
      <c r="N26">
        <v>5</v>
      </c>
      <c r="O26">
        <v>542</v>
      </c>
      <c r="P26" t="s">
        <v>31</v>
      </c>
      <c r="Q26" t="s">
        <v>34</v>
      </c>
      <c r="R26">
        <v>21</v>
      </c>
      <c r="S26" t="s">
        <v>54</v>
      </c>
      <c r="T26">
        <v>3</v>
      </c>
      <c r="U26" t="s">
        <v>34</v>
      </c>
    </row>
    <row r="27" spans="1:21" x14ac:dyDescent="0.3">
      <c r="A27">
        <v>947</v>
      </c>
      <c r="B27" t="s">
        <v>193</v>
      </c>
      <c r="C27" s="1">
        <v>45433.695833333331</v>
      </c>
      <c r="D27" t="s">
        <v>194</v>
      </c>
      <c r="E27" t="s">
        <v>195</v>
      </c>
      <c r="F27" t="s">
        <v>196</v>
      </c>
      <c r="G27">
        <v>33</v>
      </c>
      <c r="H27" t="s">
        <v>39</v>
      </c>
      <c r="I27" t="s">
        <v>197</v>
      </c>
      <c r="J27" t="s">
        <v>51</v>
      </c>
      <c r="K27" t="s">
        <v>41</v>
      </c>
      <c r="L27" t="s">
        <v>42</v>
      </c>
      <c r="M27" t="s">
        <v>198</v>
      </c>
      <c r="N27">
        <v>8</v>
      </c>
      <c r="O27">
        <v>52</v>
      </c>
      <c r="P27" t="s">
        <v>44</v>
      </c>
      <c r="Q27" t="s">
        <v>34</v>
      </c>
      <c r="R27">
        <v>17</v>
      </c>
      <c r="S27" t="s">
        <v>63</v>
      </c>
      <c r="T27">
        <v>5</v>
      </c>
      <c r="U27" t="s">
        <v>34</v>
      </c>
    </row>
    <row r="28" spans="1:21" x14ac:dyDescent="0.3">
      <c r="A28">
        <v>248</v>
      </c>
      <c r="B28" t="s">
        <v>199</v>
      </c>
      <c r="C28" s="1">
        <v>45350.97452546296</v>
      </c>
      <c r="D28" t="s">
        <v>200</v>
      </c>
      <c r="E28" t="s">
        <v>201</v>
      </c>
      <c r="F28" t="s">
        <v>202</v>
      </c>
      <c r="G28">
        <v>48</v>
      </c>
      <c r="H28" t="s">
        <v>39</v>
      </c>
      <c r="I28" t="s">
        <v>203</v>
      </c>
      <c r="J28" t="s">
        <v>69</v>
      </c>
      <c r="K28" t="s">
        <v>60</v>
      </c>
      <c r="L28" t="s">
        <v>52</v>
      </c>
      <c r="M28" t="s">
        <v>204</v>
      </c>
      <c r="N28">
        <v>9</v>
      </c>
      <c r="O28">
        <v>27</v>
      </c>
      <c r="P28" t="s">
        <v>31</v>
      </c>
      <c r="Q28" t="s">
        <v>32</v>
      </c>
      <c r="R28">
        <v>62</v>
      </c>
      <c r="S28" t="s">
        <v>45</v>
      </c>
      <c r="T28">
        <v>4</v>
      </c>
      <c r="U28" t="s">
        <v>34</v>
      </c>
    </row>
    <row r="29" spans="1:21" x14ac:dyDescent="0.3">
      <c r="A29">
        <v>277</v>
      </c>
      <c r="B29" t="s">
        <v>205</v>
      </c>
      <c r="C29" s="1">
        <v>45374.987962962965</v>
      </c>
      <c r="D29" t="s">
        <v>206</v>
      </c>
      <c r="E29" t="s">
        <v>207</v>
      </c>
      <c r="F29" t="s">
        <v>208</v>
      </c>
      <c r="G29">
        <v>46</v>
      </c>
      <c r="H29" t="s">
        <v>25</v>
      </c>
      <c r="I29" t="s">
        <v>209</v>
      </c>
      <c r="J29" t="s">
        <v>27</v>
      </c>
      <c r="K29" t="s">
        <v>60</v>
      </c>
      <c r="L29" t="s">
        <v>29</v>
      </c>
      <c r="M29" t="s">
        <v>210</v>
      </c>
      <c r="N29">
        <v>3</v>
      </c>
      <c r="O29">
        <v>215</v>
      </c>
      <c r="P29" t="s">
        <v>31</v>
      </c>
      <c r="Q29" t="s">
        <v>32</v>
      </c>
      <c r="R29">
        <v>19</v>
      </c>
      <c r="S29" t="s">
        <v>63</v>
      </c>
      <c r="T29">
        <v>5</v>
      </c>
      <c r="U29" t="s">
        <v>32</v>
      </c>
    </row>
    <row r="30" spans="1:21" x14ac:dyDescent="0.3">
      <c r="A30">
        <v>768</v>
      </c>
      <c r="B30" t="s">
        <v>211</v>
      </c>
      <c r="C30" s="1">
        <v>45434.079074074078</v>
      </c>
      <c r="D30" t="s">
        <v>212</v>
      </c>
      <c r="E30" t="s">
        <v>213</v>
      </c>
      <c r="F30" t="s">
        <v>214</v>
      </c>
      <c r="G30">
        <v>53</v>
      </c>
      <c r="H30" t="s">
        <v>39</v>
      </c>
      <c r="I30" t="s">
        <v>215</v>
      </c>
      <c r="J30" t="s">
        <v>51</v>
      </c>
      <c r="K30" t="s">
        <v>28</v>
      </c>
      <c r="L30" t="s">
        <v>95</v>
      </c>
      <c r="M30" t="s">
        <v>216</v>
      </c>
      <c r="N30">
        <v>20</v>
      </c>
      <c r="O30">
        <v>70</v>
      </c>
      <c r="P30" t="s">
        <v>31</v>
      </c>
      <c r="Q30" t="s">
        <v>32</v>
      </c>
      <c r="R30">
        <v>88</v>
      </c>
      <c r="S30" t="s">
        <v>45</v>
      </c>
      <c r="T30">
        <v>3</v>
      </c>
      <c r="U30" t="s">
        <v>34</v>
      </c>
    </row>
    <row r="31" spans="1:21" x14ac:dyDescent="0.3">
      <c r="A31">
        <v>942</v>
      </c>
      <c r="B31" t="s">
        <v>217</v>
      </c>
      <c r="C31" s="1">
        <v>45412.37091435185</v>
      </c>
      <c r="D31" t="s">
        <v>218</v>
      </c>
      <c r="E31" t="s">
        <v>219</v>
      </c>
      <c r="F31" t="s">
        <v>220</v>
      </c>
      <c r="G31">
        <v>51</v>
      </c>
      <c r="H31" t="s">
        <v>39</v>
      </c>
      <c r="I31" t="s">
        <v>221</v>
      </c>
      <c r="J31" t="s">
        <v>69</v>
      </c>
      <c r="K31" t="s">
        <v>28</v>
      </c>
      <c r="L31" t="s">
        <v>52</v>
      </c>
      <c r="M31" t="s">
        <v>222</v>
      </c>
      <c r="N31">
        <v>11</v>
      </c>
      <c r="O31">
        <v>234</v>
      </c>
      <c r="P31" t="s">
        <v>62</v>
      </c>
      <c r="Q31" t="s">
        <v>32</v>
      </c>
      <c r="R31">
        <v>97</v>
      </c>
      <c r="S31" t="s">
        <v>33</v>
      </c>
      <c r="T31">
        <v>2</v>
      </c>
      <c r="U31" t="s">
        <v>34</v>
      </c>
    </row>
    <row r="32" spans="1:21" x14ac:dyDescent="0.3">
      <c r="A32">
        <v>732</v>
      </c>
      <c r="B32" t="s">
        <v>223</v>
      </c>
      <c r="C32" s="1">
        <v>45313.201620370368</v>
      </c>
      <c r="D32" t="s">
        <v>224</v>
      </c>
      <c r="E32" t="s">
        <v>225</v>
      </c>
      <c r="F32" t="s">
        <v>226</v>
      </c>
      <c r="G32">
        <v>45</v>
      </c>
      <c r="H32" t="s">
        <v>25</v>
      </c>
      <c r="I32" t="s">
        <v>227</v>
      </c>
      <c r="J32" t="s">
        <v>51</v>
      </c>
      <c r="K32" t="s">
        <v>41</v>
      </c>
      <c r="L32" t="s">
        <v>29</v>
      </c>
      <c r="M32" t="s">
        <v>228</v>
      </c>
      <c r="N32">
        <v>20</v>
      </c>
      <c r="O32">
        <v>529</v>
      </c>
      <c r="P32" t="s">
        <v>44</v>
      </c>
      <c r="Q32" t="s">
        <v>32</v>
      </c>
      <c r="R32">
        <v>48</v>
      </c>
      <c r="S32" t="s">
        <v>63</v>
      </c>
      <c r="T32">
        <v>3</v>
      </c>
      <c r="U32" t="s">
        <v>32</v>
      </c>
    </row>
    <row r="33" spans="1:21" x14ac:dyDescent="0.3">
      <c r="A33">
        <v>34</v>
      </c>
      <c r="B33" t="s">
        <v>229</v>
      </c>
      <c r="C33" s="1">
        <v>45296.939305555556</v>
      </c>
      <c r="D33" t="s">
        <v>230</v>
      </c>
      <c r="E33" t="s">
        <v>231</v>
      </c>
      <c r="F33" t="s">
        <v>232</v>
      </c>
      <c r="G33">
        <v>34</v>
      </c>
      <c r="H33" t="s">
        <v>25</v>
      </c>
      <c r="I33" t="s">
        <v>233</v>
      </c>
      <c r="J33" t="s">
        <v>69</v>
      </c>
      <c r="K33" t="s">
        <v>60</v>
      </c>
      <c r="L33" t="s">
        <v>42</v>
      </c>
      <c r="M33" t="s">
        <v>234</v>
      </c>
      <c r="N33">
        <v>2</v>
      </c>
      <c r="O33">
        <v>360</v>
      </c>
      <c r="P33" t="s">
        <v>44</v>
      </c>
      <c r="Q33" t="s">
        <v>34</v>
      </c>
      <c r="R33">
        <v>65</v>
      </c>
      <c r="S33" t="s">
        <v>63</v>
      </c>
      <c r="T33">
        <v>3</v>
      </c>
      <c r="U33" t="s">
        <v>32</v>
      </c>
    </row>
    <row r="34" spans="1:21" x14ac:dyDescent="0.3">
      <c r="A34">
        <v>172</v>
      </c>
      <c r="B34" t="s">
        <v>235</v>
      </c>
      <c r="C34" s="1">
        <v>45413.205266203702</v>
      </c>
      <c r="D34" t="s">
        <v>236</v>
      </c>
      <c r="E34" t="s">
        <v>237</v>
      </c>
      <c r="F34" t="s">
        <v>238</v>
      </c>
      <c r="G34">
        <v>59</v>
      </c>
      <c r="H34" t="s">
        <v>39</v>
      </c>
      <c r="I34" t="s">
        <v>239</v>
      </c>
      <c r="J34" t="s">
        <v>69</v>
      </c>
      <c r="K34" t="s">
        <v>82</v>
      </c>
      <c r="L34" t="s">
        <v>52</v>
      </c>
      <c r="M34" t="s">
        <v>240</v>
      </c>
      <c r="N34">
        <v>15</v>
      </c>
      <c r="O34">
        <v>313</v>
      </c>
      <c r="P34" t="s">
        <v>31</v>
      </c>
      <c r="Q34" t="s">
        <v>34</v>
      </c>
      <c r="R34">
        <v>46</v>
      </c>
      <c r="S34" t="s">
        <v>45</v>
      </c>
      <c r="T34">
        <v>1</v>
      </c>
      <c r="U34" t="s">
        <v>34</v>
      </c>
    </row>
    <row r="35" spans="1:21" x14ac:dyDescent="0.3">
      <c r="A35">
        <v>960</v>
      </c>
      <c r="B35" t="s">
        <v>241</v>
      </c>
      <c r="C35" s="1">
        <v>45377.671493055554</v>
      </c>
      <c r="D35" t="s">
        <v>242</v>
      </c>
      <c r="E35" t="s">
        <v>243</v>
      </c>
      <c r="F35" t="s">
        <v>244</v>
      </c>
      <c r="G35">
        <v>39</v>
      </c>
      <c r="H35" t="s">
        <v>25</v>
      </c>
      <c r="I35" t="s">
        <v>245</v>
      </c>
      <c r="J35" t="s">
        <v>51</v>
      </c>
      <c r="K35" t="s">
        <v>82</v>
      </c>
      <c r="L35" t="s">
        <v>52</v>
      </c>
      <c r="M35" t="s">
        <v>246</v>
      </c>
      <c r="N35">
        <v>16</v>
      </c>
      <c r="O35">
        <v>421</v>
      </c>
      <c r="P35" t="s">
        <v>62</v>
      </c>
      <c r="Q35" t="s">
        <v>34</v>
      </c>
      <c r="R35">
        <v>54</v>
      </c>
      <c r="S35" t="s">
        <v>45</v>
      </c>
      <c r="T35">
        <v>4</v>
      </c>
      <c r="U35" t="s">
        <v>34</v>
      </c>
    </row>
    <row r="36" spans="1:21" x14ac:dyDescent="0.3">
      <c r="A36">
        <v>359</v>
      </c>
      <c r="B36" t="s">
        <v>247</v>
      </c>
      <c r="C36" s="1">
        <v>45409.744780092595</v>
      </c>
      <c r="D36" t="s">
        <v>248</v>
      </c>
      <c r="E36" t="s">
        <v>249</v>
      </c>
      <c r="F36" t="s">
        <v>250</v>
      </c>
      <c r="G36">
        <v>66</v>
      </c>
      <c r="H36" t="s">
        <v>39</v>
      </c>
      <c r="I36" t="s">
        <v>251</v>
      </c>
      <c r="J36" t="s">
        <v>27</v>
      </c>
      <c r="K36" t="s">
        <v>41</v>
      </c>
      <c r="L36" t="s">
        <v>42</v>
      </c>
      <c r="M36" t="s">
        <v>252</v>
      </c>
      <c r="N36">
        <v>4</v>
      </c>
      <c r="O36">
        <v>488</v>
      </c>
      <c r="P36" t="s">
        <v>62</v>
      </c>
      <c r="Q36" t="s">
        <v>32</v>
      </c>
      <c r="R36">
        <v>97</v>
      </c>
      <c r="S36" t="s">
        <v>54</v>
      </c>
      <c r="T36">
        <v>5</v>
      </c>
      <c r="U36" t="s">
        <v>32</v>
      </c>
    </row>
    <row r="37" spans="1:21" x14ac:dyDescent="0.3">
      <c r="A37">
        <v>181</v>
      </c>
      <c r="B37" t="s">
        <v>253</v>
      </c>
      <c r="C37" s="1">
        <v>45428.617361111108</v>
      </c>
      <c r="D37" t="s">
        <v>254</v>
      </c>
      <c r="E37" t="s">
        <v>255</v>
      </c>
      <c r="F37" t="s">
        <v>256</v>
      </c>
      <c r="G37">
        <v>27</v>
      </c>
      <c r="H37" t="s">
        <v>39</v>
      </c>
      <c r="I37" t="s">
        <v>257</v>
      </c>
      <c r="J37" t="s">
        <v>69</v>
      </c>
      <c r="K37" t="s">
        <v>60</v>
      </c>
      <c r="L37" t="s">
        <v>29</v>
      </c>
      <c r="M37" t="s">
        <v>258</v>
      </c>
      <c r="N37">
        <v>3</v>
      </c>
      <c r="O37">
        <v>41</v>
      </c>
      <c r="P37" t="s">
        <v>44</v>
      </c>
      <c r="Q37" t="s">
        <v>32</v>
      </c>
      <c r="R37">
        <v>68</v>
      </c>
      <c r="S37" t="s">
        <v>45</v>
      </c>
      <c r="T37">
        <v>2</v>
      </c>
      <c r="U37" t="s">
        <v>34</v>
      </c>
    </row>
    <row r="38" spans="1:21" x14ac:dyDescent="0.3">
      <c r="A38">
        <v>295</v>
      </c>
      <c r="B38" t="s">
        <v>259</v>
      </c>
      <c r="C38" s="1">
        <v>45361.210150462961</v>
      </c>
      <c r="D38" t="s">
        <v>260</v>
      </c>
      <c r="E38" t="s">
        <v>261</v>
      </c>
      <c r="F38" t="s">
        <v>262</v>
      </c>
      <c r="G38">
        <v>51</v>
      </c>
      <c r="H38" t="s">
        <v>25</v>
      </c>
      <c r="I38" t="s">
        <v>263</v>
      </c>
      <c r="J38" t="s">
        <v>51</v>
      </c>
      <c r="K38" t="s">
        <v>82</v>
      </c>
      <c r="L38" t="s">
        <v>52</v>
      </c>
      <c r="M38" t="s">
        <v>264</v>
      </c>
      <c r="N38">
        <v>10</v>
      </c>
      <c r="O38">
        <v>429</v>
      </c>
      <c r="P38" t="s">
        <v>62</v>
      </c>
      <c r="Q38" t="s">
        <v>32</v>
      </c>
      <c r="R38">
        <v>30</v>
      </c>
      <c r="S38" t="s">
        <v>63</v>
      </c>
      <c r="T38">
        <v>5</v>
      </c>
      <c r="U38" t="s">
        <v>32</v>
      </c>
    </row>
    <row r="39" spans="1:21" x14ac:dyDescent="0.3">
      <c r="A39">
        <v>270</v>
      </c>
      <c r="B39" t="s">
        <v>265</v>
      </c>
      <c r="C39" s="1">
        <v>45349.273657407408</v>
      </c>
      <c r="D39" t="s">
        <v>266</v>
      </c>
      <c r="E39" t="s">
        <v>267</v>
      </c>
      <c r="F39" t="s">
        <v>268</v>
      </c>
      <c r="G39">
        <v>59</v>
      </c>
      <c r="H39" t="s">
        <v>39</v>
      </c>
      <c r="I39" t="s">
        <v>269</v>
      </c>
      <c r="J39" t="s">
        <v>27</v>
      </c>
      <c r="K39" t="s">
        <v>41</v>
      </c>
      <c r="L39" t="s">
        <v>42</v>
      </c>
      <c r="M39" t="s">
        <v>270</v>
      </c>
      <c r="N39">
        <v>19</v>
      </c>
      <c r="O39">
        <v>15</v>
      </c>
      <c r="P39" t="s">
        <v>62</v>
      </c>
      <c r="Q39" t="s">
        <v>32</v>
      </c>
      <c r="R39">
        <v>25</v>
      </c>
      <c r="S39" t="s">
        <v>63</v>
      </c>
      <c r="T39">
        <v>1</v>
      </c>
      <c r="U39" t="s">
        <v>32</v>
      </c>
    </row>
    <row r="40" spans="1:21" x14ac:dyDescent="0.3">
      <c r="A40">
        <v>55</v>
      </c>
      <c r="B40" t="s">
        <v>271</v>
      </c>
      <c r="C40" s="1">
        <v>45410.804583333331</v>
      </c>
      <c r="D40" t="s">
        <v>272</v>
      </c>
      <c r="E40" t="s">
        <v>273</v>
      </c>
      <c r="F40" t="s">
        <v>274</v>
      </c>
      <c r="G40">
        <v>24</v>
      </c>
      <c r="H40" t="s">
        <v>25</v>
      </c>
      <c r="I40" t="s">
        <v>275</v>
      </c>
      <c r="J40" t="s">
        <v>27</v>
      </c>
      <c r="K40" t="s">
        <v>82</v>
      </c>
      <c r="L40" t="s">
        <v>95</v>
      </c>
      <c r="M40" t="s">
        <v>276</v>
      </c>
      <c r="N40">
        <v>3</v>
      </c>
      <c r="O40">
        <v>516</v>
      </c>
      <c r="P40" t="s">
        <v>62</v>
      </c>
      <c r="Q40" t="s">
        <v>34</v>
      </c>
      <c r="R40">
        <v>61</v>
      </c>
      <c r="S40" t="s">
        <v>63</v>
      </c>
      <c r="T40">
        <v>1</v>
      </c>
      <c r="U40" t="s">
        <v>32</v>
      </c>
    </row>
    <row r="41" spans="1:21" x14ac:dyDescent="0.3">
      <c r="A41">
        <v>774</v>
      </c>
      <c r="B41" t="s">
        <v>277</v>
      </c>
      <c r="C41" s="1">
        <v>45322.751284722224</v>
      </c>
      <c r="D41" t="s">
        <v>278</v>
      </c>
      <c r="E41" t="s">
        <v>279</v>
      </c>
      <c r="F41" t="s">
        <v>280</v>
      </c>
      <c r="G41">
        <v>19</v>
      </c>
      <c r="H41" t="s">
        <v>25</v>
      </c>
      <c r="I41" t="s">
        <v>281</v>
      </c>
      <c r="J41" t="s">
        <v>69</v>
      </c>
      <c r="K41" t="s">
        <v>28</v>
      </c>
      <c r="L41" t="s">
        <v>29</v>
      </c>
      <c r="M41" t="s">
        <v>282</v>
      </c>
      <c r="N41">
        <v>2</v>
      </c>
      <c r="O41">
        <v>119</v>
      </c>
      <c r="P41" t="s">
        <v>62</v>
      </c>
      <c r="Q41" t="s">
        <v>32</v>
      </c>
      <c r="R41">
        <v>60</v>
      </c>
      <c r="S41" t="s">
        <v>54</v>
      </c>
      <c r="T41">
        <v>2</v>
      </c>
      <c r="U41" t="s">
        <v>32</v>
      </c>
    </row>
    <row r="42" spans="1:21" x14ac:dyDescent="0.3">
      <c r="A42">
        <v>300</v>
      </c>
      <c r="B42" t="s">
        <v>283</v>
      </c>
      <c r="C42" s="1">
        <v>45346.960613425923</v>
      </c>
      <c r="D42" t="s">
        <v>284</v>
      </c>
      <c r="E42" t="s">
        <v>285</v>
      </c>
      <c r="F42" t="s">
        <v>286</v>
      </c>
      <c r="G42">
        <v>43</v>
      </c>
      <c r="H42" t="s">
        <v>25</v>
      </c>
      <c r="I42" t="s">
        <v>287</v>
      </c>
      <c r="J42" t="s">
        <v>27</v>
      </c>
      <c r="K42" t="s">
        <v>41</v>
      </c>
      <c r="L42" t="s">
        <v>52</v>
      </c>
      <c r="M42" t="s">
        <v>288</v>
      </c>
      <c r="N42">
        <v>19</v>
      </c>
      <c r="O42">
        <v>576</v>
      </c>
      <c r="P42" t="s">
        <v>62</v>
      </c>
      <c r="Q42" t="s">
        <v>32</v>
      </c>
      <c r="R42">
        <v>71</v>
      </c>
      <c r="S42" t="s">
        <v>54</v>
      </c>
      <c r="T42">
        <v>1</v>
      </c>
      <c r="U42" t="s">
        <v>34</v>
      </c>
    </row>
    <row r="43" spans="1:21" x14ac:dyDescent="0.3">
      <c r="A43">
        <v>618</v>
      </c>
      <c r="B43" t="s">
        <v>289</v>
      </c>
      <c r="C43" s="1">
        <v>45302.808564814812</v>
      </c>
      <c r="D43" t="s">
        <v>290</v>
      </c>
      <c r="E43" t="s">
        <v>291</v>
      </c>
      <c r="F43" t="s">
        <v>292</v>
      </c>
      <c r="G43">
        <v>51</v>
      </c>
      <c r="H43" t="s">
        <v>25</v>
      </c>
      <c r="I43" t="s">
        <v>293</v>
      </c>
      <c r="J43" t="s">
        <v>51</v>
      </c>
      <c r="K43" t="s">
        <v>28</v>
      </c>
      <c r="L43" t="s">
        <v>29</v>
      </c>
      <c r="M43" t="s">
        <v>294</v>
      </c>
      <c r="N43">
        <v>20</v>
      </c>
      <c r="O43">
        <v>117</v>
      </c>
      <c r="P43" t="s">
        <v>31</v>
      </c>
      <c r="Q43" t="s">
        <v>32</v>
      </c>
      <c r="R43">
        <v>53</v>
      </c>
      <c r="S43" t="s">
        <v>33</v>
      </c>
      <c r="T43">
        <v>1</v>
      </c>
      <c r="U43" t="s">
        <v>32</v>
      </c>
    </row>
    <row r="44" spans="1:21" x14ac:dyDescent="0.3">
      <c r="A44">
        <v>744</v>
      </c>
      <c r="B44" t="s">
        <v>295</v>
      </c>
      <c r="C44" s="1">
        <v>45433.457175925927</v>
      </c>
      <c r="D44" t="s">
        <v>296</v>
      </c>
      <c r="E44" t="s">
        <v>297</v>
      </c>
      <c r="F44" t="s">
        <v>298</v>
      </c>
      <c r="G44">
        <v>30</v>
      </c>
      <c r="H44" t="s">
        <v>25</v>
      </c>
      <c r="I44" t="s">
        <v>299</v>
      </c>
      <c r="J44" t="s">
        <v>51</v>
      </c>
      <c r="K44" t="s">
        <v>82</v>
      </c>
      <c r="L44" t="s">
        <v>52</v>
      </c>
      <c r="M44" t="s">
        <v>300</v>
      </c>
      <c r="N44">
        <v>17</v>
      </c>
      <c r="O44">
        <v>279</v>
      </c>
      <c r="P44" t="s">
        <v>62</v>
      </c>
      <c r="Q44" t="s">
        <v>32</v>
      </c>
      <c r="R44">
        <v>52</v>
      </c>
      <c r="S44" t="s">
        <v>45</v>
      </c>
      <c r="T44">
        <v>4</v>
      </c>
      <c r="U44" t="s">
        <v>32</v>
      </c>
    </row>
    <row r="45" spans="1:21" x14ac:dyDescent="0.3">
      <c r="A45">
        <v>285</v>
      </c>
      <c r="B45" t="s">
        <v>301</v>
      </c>
      <c r="C45" s="1">
        <v>45388.248668981483</v>
      </c>
      <c r="D45" t="s">
        <v>302</v>
      </c>
      <c r="E45" t="s">
        <v>303</v>
      </c>
      <c r="F45" t="s">
        <v>304</v>
      </c>
      <c r="G45">
        <v>21</v>
      </c>
      <c r="H45" t="s">
        <v>25</v>
      </c>
      <c r="I45" t="s">
        <v>305</v>
      </c>
      <c r="J45" t="s">
        <v>69</v>
      </c>
      <c r="K45" t="s">
        <v>60</v>
      </c>
      <c r="L45" t="s">
        <v>42</v>
      </c>
      <c r="M45" t="s">
        <v>306</v>
      </c>
      <c r="N45">
        <v>8</v>
      </c>
      <c r="O45">
        <v>586</v>
      </c>
      <c r="P45" t="s">
        <v>62</v>
      </c>
      <c r="Q45" t="s">
        <v>32</v>
      </c>
      <c r="R45">
        <v>74</v>
      </c>
      <c r="S45" t="s">
        <v>33</v>
      </c>
      <c r="T45">
        <v>5</v>
      </c>
      <c r="U45" t="s">
        <v>32</v>
      </c>
    </row>
    <row r="46" spans="1:21" x14ac:dyDescent="0.3">
      <c r="A46">
        <v>61</v>
      </c>
      <c r="B46" t="s">
        <v>307</v>
      </c>
      <c r="C46" s="1">
        <v>45425.834178240744</v>
      </c>
      <c r="D46" t="s">
        <v>308</v>
      </c>
      <c r="E46" t="s">
        <v>309</v>
      </c>
      <c r="F46" t="s">
        <v>310</v>
      </c>
      <c r="G46">
        <v>50</v>
      </c>
      <c r="H46" t="s">
        <v>39</v>
      </c>
      <c r="I46" t="s">
        <v>311</v>
      </c>
      <c r="J46" t="s">
        <v>51</v>
      </c>
      <c r="K46" t="s">
        <v>28</v>
      </c>
      <c r="L46" t="s">
        <v>29</v>
      </c>
      <c r="M46" t="s">
        <v>312</v>
      </c>
      <c r="N46">
        <v>8</v>
      </c>
      <c r="O46">
        <v>29</v>
      </c>
      <c r="P46" t="s">
        <v>31</v>
      </c>
      <c r="Q46" t="s">
        <v>32</v>
      </c>
      <c r="R46">
        <v>64</v>
      </c>
      <c r="S46" t="s">
        <v>63</v>
      </c>
      <c r="T46">
        <v>5</v>
      </c>
      <c r="U46" t="s">
        <v>34</v>
      </c>
    </row>
    <row r="47" spans="1:21" x14ac:dyDescent="0.3">
      <c r="A47">
        <v>959</v>
      </c>
      <c r="B47" t="s">
        <v>313</v>
      </c>
      <c r="C47" s="1">
        <v>45300.370266203703</v>
      </c>
      <c r="D47" t="s">
        <v>314</v>
      </c>
      <c r="E47" t="s">
        <v>315</v>
      </c>
      <c r="F47" t="s">
        <v>316</v>
      </c>
      <c r="G47">
        <v>40</v>
      </c>
      <c r="H47" t="s">
        <v>25</v>
      </c>
      <c r="I47" t="s">
        <v>317</v>
      </c>
      <c r="J47" t="s">
        <v>69</v>
      </c>
      <c r="K47" t="s">
        <v>82</v>
      </c>
      <c r="L47" t="s">
        <v>29</v>
      </c>
      <c r="M47" t="s">
        <v>318</v>
      </c>
      <c r="N47">
        <v>3</v>
      </c>
      <c r="O47">
        <v>92</v>
      </c>
      <c r="P47" t="s">
        <v>62</v>
      </c>
      <c r="Q47" t="s">
        <v>34</v>
      </c>
      <c r="R47">
        <v>61</v>
      </c>
      <c r="S47" t="s">
        <v>54</v>
      </c>
      <c r="T47">
        <v>3</v>
      </c>
      <c r="U47" t="s">
        <v>34</v>
      </c>
    </row>
    <row r="48" spans="1:21" x14ac:dyDescent="0.3">
      <c r="A48">
        <v>746</v>
      </c>
      <c r="B48" t="s">
        <v>319</v>
      </c>
      <c r="C48" s="1">
        <v>45405.231493055559</v>
      </c>
      <c r="D48" t="s">
        <v>320</v>
      </c>
      <c r="E48" t="s">
        <v>321</v>
      </c>
      <c r="F48" t="s">
        <v>322</v>
      </c>
      <c r="G48">
        <v>35</v>
      </c>
      <c r="H48" t="s">
        <v>25</v>
      </c>
      <c r="I48" t="s">
        <v>323</v>
      </c>
      <c r="J48" t="s">
        <v>27</v>
      </c>
      <c r="K48" t="s">
        <v>41</v>
      </c>
      <c r="L48" t="s">
        <v>42</v>
      </c>
      <c r="M48" t="s">
        <v>324</v>
      </c>
      <c r="N48">
        <v>10</v>
      </c>
      <c r="O48">
        <v>354</v>
      </c>
      <c r="P48" t="s">
        <v>44</v>
      </c>
      <c r="Q48" t="s">
        <v>32</v>
      </c>
      <c r="R48">
        <v>35</v>
      </c>
      <c r="S48" t="s">
        <v>33</v>
      </c>
      <c r="T48">
        <v>2</v>
      </c>
      <c r="U48" t="s">
        <v>34</v>
      </c>
    </row>
    <row r="49" spans="1:21" x14ac:dyDescent="0.3">
      <c r="A49">
        <v>293</v>
      </c>
      <c r="B49" t="s">
        <v>325</v>
      </c>
      <c r="C49" s="1">
        <v>45413.529421296298</v>
      </c>
      <c r="D49" t="s">
        <v>326</v>
      </c>
      <c r="E49" t="s">
        <v>327</v>
      </c>
      <c r="F49" t="s">
        <v>328</v>
      </c>
      <c r="G49">
        <v>27</v>
      </c>
      <c r="H49" t="s">
        <v>39</v>
      </c>
      <c r="I49" t="s">
        <v>329</v>
      </c>
      <c r="J49" t="s">
        <v>27</v>
      </c>
      <c r="K49" t="s">
        <v>60</v>
      </c>
      <c r="L49" t="s">
        <v>52</v>
      </c>
      <c r="M49" t="s">
        <v>330</v>
      </c>
      <c r="N49">
        <v>6</v>
      </c>
      <c r="O49">
        <v>487</v>
      </c>
      <c r="P49" t="s">
        <v>31</v>
      </c>
      <c r="Q49" t="s">
        <v>32</v>
      </c>
      <c r="R49">
        <v>90</v>
      </c>
      <c r="S49" t="s">
        <v>54</v>
      </c>
      <c r="T49">
        <v>2</v>
      </c>
      <c r="U49" t="s">
        <v>32</v>
      </c>
    </row>
    <row r="50" spans="1:21" x14ac:dyDescent="0.3">
      <c r="A50">
        <v>59</v>
      </c>
      <c r="B50" t="s">
        <v>331</v>
      </c>
      <c r="C50" s="1">
        <v>45383.010081018518</v>
      </c>
      <c r="D50" t="s">
        <v>332</v>
      </c>
      <c r="E50" t="s">
        <v>333</v>
      </c>
      <c r="F50" t="s">
        <v>334</v>
      </c>
      <c r="G50">
        <v>61</v>
      </c>
      <c r="H50" t="s">
        <v>39</v>
      </c>
      <c r="I50" t="s">
        <v>335</v>
      </c>
      <c r="J50" t="s">
        <v>51</v>
      </c>
      <c r="K50" t="s">
        <v>41</v>
      </c>
      <c r="L50" t="s">
        <v>52</v>
      </c>
      <c r="M50" t="s">
        <v>336</v>
      </c>
      <c r="N50">
        <v>17</v>
      </c>
      <c r="O50">
        <v>537</v>
      </c>
      <c r="P50" t="s">
        <v>31</v>
      </c>
      <c r="Q50" t="s">
        <v>34</v>
      </c>
      <c r="R50">
        <v>39</v>
      </c>
      <c r="S50" t="s">
        <v>63</v>
      </c>
      <c r="T50">
        <v>3</v>
      </c>
      <c r="U50" t="s">
        <v>32</v>
      </c>
    </row>
    <row r="51" spans="1:21" x14ac:dyDescent="0.3">
      <c r="A51">
        <v>180</v>
      </c>
      <c r="B51" t="s">
        <v>337</v>
      </c>
      <c r="C51" s="1">
        <v>45372.398888888885</v>
      </c>
      <c r="D51" t="s">
        <v>338</v>
      </c>
      <c r="E51" t="s">
        <v>339</v>
      </c>
      <c r="F51" t="s">
        <v>340</v>
      </c>
      <c r="G51">
        <v>22</v>
      </c>
      <c r="H51" t="s">
        <v>25</v>
      </c>
      <c r="I51" t="s">
        <v>341</v>
      </c>
      <c r="J51" t="s">
        <v>27</v>
      </c>
      <c r="K51" t="s">
        <v>60</v>
      </c>
      <c r="L51" t="s">
        <v>42</v>
      </c>
      <c r="M51" t="s">
        <v>342</v>
      </c>
      <c r="N51">
        <v>3</v>
      </c>
      <c r="O51">
        <v>442</v>
      </c>
      <c r="P51" t="s">
        <v>44</v>
      </c>
      <c r="Q51" t="s">
        <v>32</v>
      </c>
      <c r="R51">
        <v>16</v>
      </c>
      <c r="S51" t="s">
        <v>33</v>
      </c>
      <c r="T51">
        <v>2</v>
      </c>
      <c r="U51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562019-5FBD-4FBE-93FF-1FF2BB44C5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RECHERCHE</vt:lpstr>
      <vt:lpstr>crm_customer_sessions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lovatahiana RAZANAKOTO</dc:creator>
  <cp:lastModifiedBy>lovatahiana RAZANAKOTO</cp:lastModifiedBy>
  <dcterms:created xsi:type="dcterms:W3CDTF">2026-09-09T03:01:21Z</dcterms:created>
  <dcterms:modified xsi:type="dcterms:W3CDTF">2026-09-09T06:09:36Z</dcterms:modified>
</cp:coreProperties>
</file>